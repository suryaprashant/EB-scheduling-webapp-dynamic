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3cc60b3715fea9/Documents/GAMS/Studio/workspace/"/>
    </mc:Choice>
  </mc:AlternateContent>
  <xr:revisionPtr revIDLastSave="272" documentId="8_{C9FEDECE-CA87-4219-A940-01E720A1BAC0}" xr6:coauthVersionLast="47" xr6:coauthVersionMax="47" xr10:uidLastSave="{1607C87F-728F-4FE9-9640-215BE736EF55}"/>
  <bookViews>
    <workbookView xWindow="-110" yWindow="-110" windowWidth="19420" windowHeight="10420" activeTab="1" xr2:uid="{00000000-000D-0000-FFFF-FFFF00000000}"/>
  </bookViews>
  <sheets>
    <sheet name="Sheet1" sheetId="4" r:id="rId1"/>
    <sheet name="Sheet3" sheetId="3" r:id="rId2"/>
    <sheet name="Sheet2" sheetId="5" r:id="rId3"/>
    <sheet name="Sheet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2" i="6" l="1"/>
  <c r="J101" i="6"/>
  <c r="J100" i="6"/>
  <c r="J99" i="6"/>
  <c r="J98" i="6"/>
  <c r="J97" i="6"/>
  <c r="J96" i="6"/>
  <c r="J95" i="6"/>
  <c r="J94" i="6"/>
  <c r="J93" i="6"/>
  <c r="J92" i="6"/>
  <c r="J91" i="6"/>
  <c r="J90" i="6"/>
  <c r="J89" i="6"/>
  <c r="J88" i="6"/>
  <c r="J87" i="6"/>
  <c r="J86" i="6"/>
  <c r="J85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9" i="6"/>
  <c r="J68" i="6"/>
  <c r="J67" i="6"/>
  <c r="J66" i="6"/>
  <c r="J65" i="6"/>
  <c r="J64" i="6"/>
  <c r="J63" i="6"/>
  <c r="J62" i="6"/>
  <c r="J61" i="6"/>
  <c r="J60" i="6"/>
  <c r="J59" i="6"/>
  <c r="J58" i="6"/>
  <c r="J57" i="6"/>
  <c r="J56" i="6"/>
  <c r="J55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37" i="6"/>
  <c r="J36" i="6"/>
  <c r="J35" i="6"/>
  <c r="J34" i="6"/>
  <c r="J33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O96" i="5"/>
  <c r="O91" i="5"/>
  <c r="O85" i="5"/>
  <c r="O86" i="5"/>
  <c r="O84" i="5"/>
  <c r="O69" i="5"/>
  <c r="O60" i="5"/>
  <c r="O56" i="5"/>
  <c r="O39" i="5"/>
  <c r="O38" i="5"/>
  <c r="O25" i="5"/>
  <c r="O15" i="5"/>
  <c r="O16" i="5"/>
  <c r="O14" i="5"/>
  <c r="O3" i="5"/>
  <c r="O4" i="5"/>
  <c r="O5" i="5"/>
  <c r="O6" i="5"/>
  <c r="O7" i="5"/>
  <c r="O8" i="5"/>
  <c r="O9" i="5"/>
  <c r="O10" i="5"/>
  <c r="O11" i="5"/>
  <c r="O12" i="5"/>
  <c r="O13" i="5"/>
  <c r="O19" i="5"/>
  <c r="O20" i="5"/>
  <c r="O21" i="5"/>
  <c r="O22" i="5"/>
  <c r="O23" i="5"/>
  <c r="O24" i="5"/>
  <c r="O27" i="5"/>
  <c r="O28" i="5"/>
  <c r="O29" i="5"/>
  <c r="O30" i="5"/>
  <c r="O31" i="5"/>
  <c r="O32" i="5"/>
  <c r="O33" i="5"/>
  <c r="O34" i="5"/>
  <c r="O35" i="5"/>
  <c r="O36" i="5"/>
  <c r="O37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7" i="5"/>
  <c r="O58" i="5"/>
  <c r="O59" i="5"/>
  <c r="O62" i="5"/>
  <c r="O63" i="5"/>
  <c r="O64" i="5"/>
  <c r="O65" i="5"/>
  <c r="O66" i="5"/>
  <c r="O67" i="5"/>
  <c r="O68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7" i="5"/>
  <c r="O88" i="5"/>
  <c r="O89" i="5"/>
  <c r="O90" i="5"/>
  <c r="O92" i="5"/>
  <c r="O93" i="5"/>
  <c r="O94" i="5"/>
  <c r="O95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9" i="5"/>
  <c r="N20" i="5"/>
  <c r="N21" i="5"/>
  <c r="N22" i="5"/>
  <c r="N23" i="5"/>
  <c r="N24" i="5"/>
  <c r="N25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M97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8" i="5"/>
  <c r="M99" i="5"/>
  <c r="M100" i="5"/>
  <c r="M101" i="5"/>
  <c r="M102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2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O56" i="3"/>
  <c r="O96" i="3"/>
  <c r="O91" i="3"/>
  <c r="O85" i="3"/>
  <c r="O86" i="3"/>
  <c r="O84" i="3"/>
  <c r="O69" i="3"/>
  <c r="O60" i="3"/>
  <c r="O39" i="3"/>
  <c r="O38" i="3"/>
  <c r="O25" i="3"/>
  <c r="O15" i="3"/>
  <c r="O16" i="3"/>
  <c r="O14" i="3"/>
  <c r="O3" i="3"/>
  <c r="O4" i="3"/>
  <c r="O5" i="3"/>
  <c r="O6" i="3"/>
  <c r="O7" i="3"/>
  <c r="O8" i="3"/>
  <c r="O9" i="3"/>
  <c r="O10" i="3"/>
  <c r="O11" i="3"/>
  <c r="O12" i="3"/>
  <c r="O13" i="3"/>
  <c r="O19" i="3"/>
  <c r="O20" i="3"/>
  <c r="O21" i="3"/>
  <c r="O22" i="3"/>
  <c r="O23" i="3"/>
  <c r="O24" i="3"/>
  <c r="O27" i="3"/>
  <c r="O28" i="3"/>
  <c r="O29" i="3"/>
  <c r="O30" i="3"/>
  <c r="O31" i="3"/>
  <c r="O32" i="3"/>
  <c r="O33" i="3"/>
  <c r="O34" i="3"/>
  <c r="O35" i="3"/>
  <c r="O36" i="3"/>
  <c r="O37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7" i="3"/>
  <c r="O58" i="3"/>
  <c r="O59" i="3"/>
  <c r="O62" i="3"/>
  <c r="O63" i="3"/>
  <c r="O64" i="3"/>
  <c r="O65" i="3"/>
  <c r="O66" i="3"/>
  <c r="O67" i="3"/>
  <c r="O68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7" i="3"/>
  <c r="O88" i="3"/>
  <c r="O89" i="3"/>
  <c r="O90" i="3"/>
  <c r="O92" i="3"/>
  <c r="O93" i="3"/>
  <c r="O94" i="3"/>
  <c r="O95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9" i="3"/>
  <c r="N20" i="3"/>
  <c r="N21" i="3"/>
  <c r="N22" i="3"/>
  <c r="N23" i="3"/>
  <c r="N24" i="3"/>
  <c r="N25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2" i="3"/>
  <c r="M97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8" i="3"/>
  <c r="M99" i="3"/>
  <c r="M100" i="3"/>
  <c r="M101" i="3"/>
  <c r="M102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2" i="3"/>
  <c r="S19" i="3"/>
  <c r="S280" i="3"/>
  <c r="S244" i="3"/>
  <c r="S243" i="3"/>
  <c r="S242" i="3"/>
  <c r="S247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81" i="3"/>
  <c r="S282" i="3"/>
  <c r="S283" i="3"/>
  <c r="S284" i="3"/>
  <c r="S285" i="3"/>
  <c r="S286" i="3"/>
  <c r="S287" i="3"/>
  <c r="S288" i="3"/>
  <c r="S28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45" i="3"/>
  <c r="S246" i="3"/>
  <c r="S248" i="3"/>
  <c r="S249" i="3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2" i="3"/>
</calcChain>
</file>

<file path=xl/sharedStrings.xml><?xml version="1.0" encoding="utf-8"?>
<sst xmlns="http://schemas.openxmlformats.org/spreadsheetml/2006/main" count="626" uniqueCount="23">
  <si>
    <t>Bus_No.</t>
  </si>
  <si>
    <t>Departure1</t>
  </si>
  <si>
    <t>Arrival1</t>
  </si>
  <si>
    <t>Departure2</t>
  </si>
  <si>
    <t>Arrival2</t>
  </si>
  <si>
    <t>nTrips1</t>
  </si>
  <si>
    <t>nTrips2</t>
  </si>
  <si>
    <t>route</t>
  </si>
  <si>
    <t>bus_cat</t>
  </si>
  <si>
    <t>TOTAL DISTANCE</t>
  </si>
  <si>
    <t>12M</t>
  </si>
  <si>
    <t>100A</t>
  </si>
  <si>
    <t>114A</t>
  </si>
  <si>
    <t>165A</t>
  </si>
  <si>
    <t>879A</t>
  </si>
  <si>
    <t>971A</t>
  </si>
  <si>
    <t>0114</t>
  </si>
  <si>
    <t>0901</t>
  </si>
  <si>
    <t>0943</t>
  </si>
  <si>
    <t>Dep1</t>
  </si>
  <si>
    <t>Arr1</t>
  </si>
  <si>
    <t>Dep2</t>
  </si>
  <si>
    <t>Arr2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</si>
</sst>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0.00;[Red]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74">
    <xf numFmtId="0" fontId="0" fillId="0" borderId="0" xfId="0"/>
    <xf numFmtId="2" fontId="2" fillId="0" borderId="1" xfId="2" applyNumberFormat="1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0" fillId="0" borderId="0" xfId="0" applyNumberFormat="1"/>
    <xf numFmtId="0" fontId="4" fillId="0" borderId="0" xfId="0" applyFont="1" applyAlignment="1">
      <alignment horizontal="center" vertical="center"/>
    </xf>
    <xf numFmtId="165" fontId="2" fillId="0" borderId="0" xfId="0" applyNumberFormat="1" applyFont="1"/>
    <xf numFmtId="0" fontId="5" fillId="0" borderId="0" xfId="0" applyFont="1"/>
    <xf numFmtId="164" fontId="6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horizontal="center"/>
    </xf>
    <xf numFmtId="0" fontId="7" fillId="0" borderId="0" xfId="0" applyFont="1"/>
    <xf numFmtId="164" fontId="8" fillId="0" borderId="1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/>
    </xf>
    <xf numFmtId="0" fontId="9" fillId="0" borderId="0" xfId="0" applyFont="1"/>
    <xf numFmtId="164" fontId="10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/>
    </xf>
    <xf numFmtId="0" fontId="11" fillId="0" borderId="0" xfId="0" applyFont="1"/>
    <xf numFmtId="164" fontId="12" fillId="0" borderId="1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/>
    </xf>
    <xf numFmtId="0" fontId="13" fillId="0" borderId="0" xfId="0" applyFont="1"/>
    <xf numFmtId="164" fontId="14" fillId="0" borderId="1" xfId="2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/>
    </xf>
    <xf numFmtId="0" fontId="15" fillId="0" borderId="0" xfId="0" applyFont="1"/>
    <xf numFmtId="164" fontId="16" fillId="0" borderId="1" xfId="2" applyNumberFormat="1" applyFont="1" applyBorder="1" applyAlignment="1">
      <alignment horizontal="center" vertical="center"/>
    </xf>
    <xf numFmtId="0" fontId="16" fillId="0" borderId="1" xfId="2" applyFont="1" applyBorder="1" applyAlignment="1">
      <alignment horizontal="center"/>
    </xf>
    <xf numFmtId="0" fontId="17" fillId="0" borderId="0" xfId="0" applyFont="1"/>
    <xf numFmtId="164" fontId="18" fillId="0" borderId="1" xfId="2" applyNumberFormat="1" applyFont="1" applyBorder="1" applyAlignment="1">
      <alignment horizontal="center" vertical="center"/>
    </xf>
    <xf numFmtId="0" fontId="18" fillId="0" borderId="1" xfId="2" applyFont="1" applyBorder="1" applyAlignment="1">
      <alignment horizontal="center"/>
    </xf>
    <xf numFmtId="0" fontId="19" fillId="0" borderId="0" xfId="0" applyFont="1"/>
    <xf numFmtId="164" fontId="20" fillId="0" borderId="1" xfId="2" applyNumberFormat="1" applyFont="1" applyBorder="1" applyAlignment="1">
      <alignment horizontal="center" vertical="center"/>
    </xf>
    <xf numFmtId="0" fontId="20" fillId="0" borderId="1" xfId="2" applyFont="1" applyBorder="1" applyAlignment="1">
      <alignment horizontal="center"/>
    </xf>
    <xf numFmtId="0" fontId="21" fillId="0" borderId="0" xfId="0" applyFont="1"/>
    <xf numFmtId="164" fontId="22" fillId="0" borderId="1" xfId="2" applyNumberFormat="1" applyFont="1" applyBorder="1" applyAlignment="1">
      <alignment horizontal="center" vertical="center"/>
    </xf>
    <xf numFmtId="0" fontId="22" fillId="0" borderId="1" xfId="2" applyFont="1" applyBorder="1" applyAlignment="1">
      <alignment horizontal="center"/>
    </xf>
    <xf numFmtId="0" fontId="23" fillId="0" borderId="0" xfId="0" applyFont="1"/>
    <xf numFmtId="20" fontId="24" fillId="0" borderId="1" xfId="2" applyNumberFormat="1" applyFont="1" applyBorder="1" applyAlignment="1">
      <alignment horizontal="center"/>
    </xf>
    <xf numFmtId="0" fontId="24" fillId="0" borderId="1" xfId="2" quotePrefix="1" applyFont="1" applyBorder="1" applyAlignment="1">
      <alignment horizontal="center"/>
    </xf>
    <xf numFmtId="0" fontId="25" fillId="0" borderId="0" xfId="0" applyFont="1"/>
    <xf numFmtId="20" fontId="26" fillId="0" borderId="1" xfId="2" applyNumberFormat="1" applyFont="1" applyBorder="1" applyAlignment="1">
      <alignment horizontal="center"/>
    </xf>
    <xf numFmtId="0" fontId="26" fillId="0" borderId="1" xfId="2" quotePrefix="1" applyFont="1" applyBorder="1" applyAlignment="1">
      <alignment horizontal="center"/>
    </xf>
    <xf numFmtId="0" fontId="27" fillId="0" borderId="0" xfId="0" applyFont="1"/>
    <xf numFmtId="20" fontId="28" fillId="0" borderId="1" xfId="2" applyNumberFormat="1" applyFont="1" applyBorder="1" applyAlignment="1">
      <alignment horizontal="center"/>
    </xf>
    <xf numFmtId="0" fontId="28" fillId="0" borderId="1" xfId="2" quotePrefix="1" applyFont="1" applyBorder="1" applyAlignment="1">
      <alignment horizontal="center"/>
    </xf>
    <xf numFmtId="1" fontId="8" fillId="0" borderId="1" xfId="2" applyNumberFormat="1" applyFont="1" applyBorder="1" applyAlignment="1">
      <alignment horizontal="center" vertical="center"/>
    </xf>
    <xf numFmtId="1" fontId="10" fillId="0" borderId="1" xfId="2" applyNumberFormat="1" applyFont="1" applyBorder="1" applyAlignment="1">
      <alignment horizontal="center" vertical="center"/>
    </xf>
    <xf numFmtId="1" fontId="12" fillId="0" borderId="1" xfId="2" applyNumberFormat="1" applyFont="1" applyBorder="1" applyAlignment="1">
      <alignment horizontal="center" vertical="center"/>
    </xf>
    <xf numFmtId="1" fontId="14" fillId="0" borderId="1" xfId="2" applyNumberFormat="1" applyFont="1" applyBorder="1" applyAlignment="1">
      <alignment horizontal="center" vertical="center"/>
    </xf>
    <xf numFmtId="1" fontId="16" fillId="0" borderId="1" xfId="2" applyNumberFormat="1" applyFont="1" applyBorder="1" applyAlignment="1">
      <alignment horizontal="center" vertical="center"/>
    </xf>
    <xf numFmtId="1" fontId="18" fillId="0" borderId="1" xfId="2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 vertical="center"/>
    </xf>
    <xf numFmtId="1" fontId="20" fillId="0" borderId="1" xfId="2" applyNumberFormat="1" applyFont="1" applyBorder="1" applyAlignment="1">
      <alignment horizontal="center" vertical="center"/>
    </xf>
    <xf numFmtId="1" fontId="22" fillId="0" borderId="1" xfId="2" applyNumberFormat="1" applyFont="1" applyBorder="1" applyAlignment="1">
      <alignment horizontal="center" vertical="center"/>
    </xf>
    <xf numFmtId="1" fontId="24" fillId="0" borderId="1" xfId="2" applyNumberFormat="1" applyFont="1" applyBorder="1" applyAlignment="1">
      <alignment horizontal="center"/>
    </xf>
    <xf numFmtId="1" fontId="26" fillId="0" borderId="1" xfId="2" applyNumberFormat="1" applyFont="1" applyBorder="1" applyAlignment="1">
      <alignment horizontal="center"/>
    </xf>
    <xf numFmtId="1" fontId="28" fillId="0" borderId="1" xfId="2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20" fontId="0" fillId="0" borderId="0" xfId="0" applyNumberFormat="1"/>
    <xf numFmtId="2" fontId="0" fillId="0" borderId="0" xfId="0" applyNumberFormat="1"/>
    <xf numFmtId="1" fontId="2" fillId="0" borderId="1" xfId="2" applyNumberFormat="1" applyFont="1" applyBorder="1" applyAlignment="1">
      <alignment horizontal="center" wrapText="1"/>
    </xf>
    <xf numFmtId="2" fontId="7" fillId="0" borderId="0" xfId="0" applyNumberFormat="1" applyFont="1"/>
    <xf numFmtId="2" fontId="9" fillId="0" borderId="0" xfId="0" applyNumberFormat="1" applyFont="1"/>
    <xf numFmtId="2" fontId="11" fillId="0" borderId="0" xfId="0" applyNumberFormat="1" applyFont="1"/>
    <xf numFmtId="2" fontId="13" fillId="0" borderId="0" xfId="0" applyNumberFormat="1" applyFont="1"/>
    <xf numFmtId="2" fontId="15" fillId="0" borderId="0" xfId="0" applyNumberFormat="1" applyFont="1"/>
    <xf numFmtId="2" fontId="17" fillId="0" borderId="0" xfId="0" applyNumberFormat="1" applyFont="1"/>
    <xf numFmtId="2" fontId="5" fillId="0" borderId="0" xfId="0" applyNumberFormat="1" applyFont="1"/>
    <xf numFmtId="2" fontId="19" fillId="0" borderId="0" xfId="0" applyNumberFormat="1" applyFont="1"/>
    <xf numFmtId="2" fontId="21" fillId="0" borderId="0" xfId="0" applyNumberFormat="1" applyFont="1"/>
    <xf numFmtId="2" fontId="23" fillId="0" borderId="0" xfId="0" applyNumberFormat="1" applyFont="1"/>
    <xf numFmtId="2" fontId="25" fillId="0" borderId="0" xfId="0" applyNumberFormat="1" applyFont="1"/>
    <xf numFmtId="2" fontId="27" fillId="0" borderId="0" xfId="0" applyNumberFormat="1" applyFont="1"/>
    <xf numFmtId="1" fontId="2" fillId="0" borderId="0" xfId="0" applyNumberFormat="1" applyFont="1"/>
    <xf numFmtId="1" fontId="4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5FE9-283E-4542-B616-9C6D64F2C8C6}">
  <sheetPr codeName="Sheet1"/>
  <dimension ref="A1:J102"/>
  <sheetViews>
    <sheetView workbookViewId="0">
      <selection activeCell="B2" sqref="B2"/>
    </sheetView>
  </sheetViews>
  <sheetFormatPr defaultRowHeight="15" x14ac:dyDescent="0.25"/>
  <cols>
    <col min="2" max="2" width="11.7109375" customWidth="1"/>
    <col min="3" max="3" width="9.140625" style="56"/>
    <col min="6" max="7" width="9.140625" style="58"/>
  </cols>
  <sheetData>
    <row r="1" spans="1:10" x14ac:dyDescent="0.25">
      <c r="A1" s="3"/>
      <c r="B1" s="3">
        <v>1</v>
      </c>
      <c r="C1" s="55">
        <v>2</v>
      </c>
      <c r="D1" s="59">
        <v>3</v>
      </c>
      <c r="E1" s="55">
        <v>4</v>
      </c>
      <c r="F1" s="59">
        <v>5</v>
      </c>
      <c r="G1" s="55">
        <v>6</v>
      </c>
      <c r="H1" s="3" t="s">
        <v>7</v>
      </c>
      <c r="I1" s="3" t="s">
        <v>8</v>
      </c>
      <c r="J1" t="s">
        <v>9</v>
      </c>
    </row>
    <row r="2" spans="1:10" x14ac:dyDescent="0.25">
      <c r="A2" s="10">
        <v>1</v>
      </c>
      <c r="B2" s="43">
        <v>24</v>
      </c>
      <c r="C2" s="43">
        <v>483</v>
      </c>
      <c r="D2" s="43">
        <v>543.99999999999989</v>
      </c>
      <c r="E2" s="43">
        <v>1003</v>
      </c>
      <c r="F2" s="60">
        <v>103.56454501452063</v>
      </c>
      <c r="G2" s="60">
        <v>83.120059865303276</v>
      </c>
      <c r="H2" s="12">
        <v>166</v>
      </c>
      <c r="I2" t="s">
        <v>10</v>
      </c>
      <c r="J2">
        <f>SUM(F2:G2)</f>
        <v>186.68460487982389</v>
      </c>
    </row>
    <row r="3" spans="1:10" x14ac:dyDescent="0.25">
      <c r="A3" s="10">
        <v>2</v>
      </c>
      <c r="B3" s="43">
        <v>52</v>
      </c>
      <c r="C3" s="43">
        <v>510.99999999999989</v>
      </c>
      <c r="D3" s="43">
        <v>572</v>
      </c>
      <c r="E3" s="43">
        <v>1031.0000000000002</v>
      </c>
      <c r="F3" s="60">
        <v>103.56454501452063</v>
      </c>
      <c r="G3" s="60">
        <v>83.120059865303276</v>
      </c>
      <c r="H3" s="12">
        <v>166</v>
      </c>
      <c r="I3" t="s">
        <v>10</v>
      </c>
      <c r="J3">
        <f t="shared" ref="J3:J66" si="0">SUM(F3:G3)</f>
        <v>186.68460487982389</v>
      </c>
    </row>
    <row r="4" spans="1:10" x14ac:dyDescent="0.25">
      <c r="A4" s="10">
        <v>3</v>
      </c>
      <c r="B4" s="43">
        <v>65</v>
      </c>
      <c r="C4" s="43">
        <v>524</v>
      </c>
      <c r="D4" s="43">
        <v>585</v>
      </c>
      <c r="E4" s="43">
        <v>1044</v>
      </c>
      <c r="F4" s="60">
        <v>103.56454501452063</v>
      </c>
      <c r="G4" s="60">
        <v>83.120059865303276</v>
      </c>
      <c r="H4" s="12">
        <v>166</v>
      </c>
      <c r="I4" t="s">
        <v>10</v>
      </c>
      <c r="J4">
        <f t="shared" si="0"/>
        <v>186.68460487982389</v>
      </c>
    </row>
    <row r="5" spans="1:10" x14ac:dyDescent="0.25">
      <c r="A5" s="10">
        <v>4</v>
      </c>
      <c r="B5" s="43">
        <v>79</v>
      </c>
      <c r="C5" s="43">
        <v>539</v>
      </c>
      <c r="D5" s="43">
        <v>598.99999999999989</v>
      </c>
      <c r="E5" s="43">
        <v>1059</v>
      </c>
      <c r="F5" s="60">
        <v>103.56454501452063</v>
      </c>
      <c r="G5" s="60">
        <v>83.120059865303276</v>
      </c>
      <c r="H5" s="12">
        <v>166</v>
      </c>
      <c r="I5" t="s">
        <v>10</v>
      </c>
      <c r="J5">
        <f t="shared" si="0"/>
        <v>186.68460487982389</v>
      </c>
    </row>
    <row r="6" spans="1:10" x14ac:dyDescent="0.25">
      <c r="A6" s="10">
        <v>5</v>
      </c>
      <c r="B6" s="43">
        <v>95</v>
      </c>
      <c r="C6" s="43">
        <v>552.00000000000011</v>
      </c>
      <c r="D6" s="43">
        <v>613</v>
      </c>
      <c r="E6" s="43">
        <v>1072.0000000000002</v>
      </c>
      <c r="F6" s="60">
        <v>103.56454501452063</v>
      </c>
      <c r="G6" s="60">
        <v>83.120059865303276</v>
      </c>
      <c r="H6" s="12">
        <v>166</v>
      </c>
      <c r="I6" t="s">
        <v>10</v>
      </c>
      <c r="J6">
        <f t="shared" si="0"/>
        <v>186.68460487982389</v>
      </c>
    </row>
    <row r="7" spans="1:10" x14ac:dyDescent="0.25">
      <c r="A7" s="10">
        <v>6</v>
      </c>
      <c r="B7" s="43">
        <v>107</v>
      </c>
      <c r="C7" s="43">
        <v>567</v>
      </c>
      <c r="D7" s="43">
        <v>627</v>
      </c>
      <c r="E7" s="43">
        <v>1081</v>
      </c>
      <c r="F7" s="60">
        <v>103.56454501452063</v>
      </c>
      <c r="G7" s="60">
        <v>83.120059865303276</v>
      </c>
      <c r="H7" s="12">
        <v>166</v>
      </c>
      <c r="I7" t="s">
        <v>10</v>
      </c>
      <c r="J7">
        <f t="shared" si="0"/>
        <v>186.68460487982389</v>
      </c>
    </row>
    <row r="8" spans="1:10" x14ac:dyDescent="0.25">
      <c r="A8" s="10">
        <v>7</v>
      </c>
      <c r="B8" s="43">
        <v>121</v>
      </c>
      <c r="C8" s="43">
        <v>578</v>
      </c>
      <c r="D8" s="43">
        <v>640.99999999999989</v>
      </c>
      <c r="E8" s="43">
        <v>1100</v>
      </c>
      <c r="F8" s="60">
        <v>103.56454501452063</v>
      </c>
      <c r="G8" s="60">
        <v>83.120059865303276</v>
      </c>
      <c r="H8" s="12">
        <v>166</v>
      </c>
      <c r="I8" t="s">
        <v>10</v>
      </c>
      <c r="J8">
        <f t="shared" si="0"/>
        <v>186.68460487982389</v>
      </c>
    </row>
    <row r="9" spans="1:10" x14ac:dyDescent="0.25">
      <c r="A9" s="10">
        <v>8</v>
      </c>
      <c r="B9" s="43">
        <v>135</v>
      </c>
      <c r="C9" s="43">
        <v>595.00000000000011</v>
      </c>
      <c r="D9" s="43">
        <v>654.99999999999989</v>
      </c>
      <c r="E9" s="43">
        <v>1115</v>
      </c>
      <c r="F9" s="60">
        <v>103.56454501452063</v>
      </c>
      <c r="G9" s="60">
        <v>83.120059865303276</v>
      </c>
      <c r="H9" s="12">
        <v>166</v>
      </c>
      <c r="I9" t="s">
        <v>10</v>
      </c>
      <c r="J9">
        <f t="shared" si="0"/>
        <v>186.68460487982389</v>
      </c>
    </row>
    <row r="10" spans="1:10" x14ac:dyDescent="0.25">
      <c r="A10" s="10">
        <v>9</v>
      </c>
      <c r="B10" s="43">
        <v>149.00000000000006</v>
      </c>
      <c r="C10" s="43">
        <v>608</v>
      </c>
      <c r="D10" s="43">
        <v>682.99999999999989</v>
      </c>
      <c r="E10" s="43">
        <v>1143</v>
      </c>
      <c r="F10" s="60">
        <v>103.56454501452063</v>
      </c>
      <c r="G10" s="60">
        <v>83.120059865303276</v>
      </c>
      <c r="H10" s="12">
        <v>166</v>
      </c>
      <c r="I10" t="s">
        <v>10</v>
      </c>
      <c r="J10">
        <f t="shared" si="0"/>
        <v>186.68460487982389</v>
      </c>
    </row>
    <row r="11" spans="1:10" x14ac:dyDescent="0.25">
      <c r="A11" s="10">
        <v>10</v>
      </c>
      <c r="B11" s="43">
        <v>163</v>
      </c>
      <c r="C11" s="43">
        <v>642.99999999999989</v>
      </c>
      <c r="D11" s="43">
        <v>711</v>
      </c>
      <c r="E11" s="43">
        <v>1171</v>
      </c>
      <c r="F11" s="60">
        <v>103.56454501452063</v>
      </c>
      <c r="G11" s="60">
        <v>83.120059865303276</v>
      </c>
      <c r="H11" s="12">
        <v>166</v>
      </c>
      <c r="I11" t="s">
        <v>10</v>
      </c>
      <c r="J11">
        <f t="shared" si="0"/>
        <v>186.68460487982389</v>
      </c>
    </row>
    <row r="12" spans="1:10" x14ac:dyDescent="0.25">
      <c r="A12" s="10">
        <v>11</v>
      </c>
      <c r="B12" s="43">
        <v>176.99999999999994</v>
      </c>
      <c r="C12" s="43">
        <v>635.99999999999989</v>
      </c>
      <c r="D12" s="43">
        <v>724.99999999999989</v>
      </c>
      <c r="E12" s="43">
        <v>1184</v>
      </c>
      <c r="F12" s="60">
        <v>103.56454501452063</v>
      </c>
      <c r="G12" s="60">
        <v>83.120059865303276</v>
      </c>
      <c r="H12" s="12">
        <v>166</v>
      </c>
      <c r="I12" t="s">
        <v>10</v>
      </c>
      <c r="J12">
        <f t="shared" si="0"/>
        <v>186.68460487982389</v>
      </c>
    </row>
    <row r="13" spans="1:10" x14ac:dyDescent="0.25">
      <c r="A13" s="10">
        <v>12</v>
      </c>
      <c r="B13" s="43">
        <v>191</v>
      </c>
      <c r="C13" s="43">
        <v>651</v>
      </c>
      <c r="D13" s="43">
        <v>738.99999999999989</v>
      </c>
      <c r="E13" s="43">
        <v>1199</v>
      </c>
      <c r="F13" s="60">
        <v>103.56454501452063</v>
      </c>
      <c r="G13" s="60">
        <v>83.120059865303276</v>
      </c>
      <c r="H13" s="12">
        <v>166</v>
      </c>
      <c r="I13" t="s">
        <v>10</v>
      </c>
      <c r="J13">
        <f t="shared" si="0"/>
        <v>186.68460487982389</v>
      </c>
    </row>
    <row r="14" spans="1:10" x14ac:dyDescent="0.25">
      <c r="A14" s="10">
        <v>13</v>
      </c>
      <c r="B14" s="43">
        <v>205</v>
      </c>
      <c r="C14" s="43">
        <v>664</v>
      </c>
      <c r="D14" s="43">
        <v>756</v>
      </c>
      <c r="E14" s="43">
        <v>1215</v>
      </c>
      <c r="F14" s="60">
        <v>103.56454501452063</v>
      </c>
      <c r="G14" s="60">
        <v>83.120059865303276</v>
      </c>
      <c r="H14" s="12">
        <v>166</v>
      </c>
      <c r="I14" t="s">
        <v>10</v>
      </c>
      <c r="J14">
        <f t="shared" si="0"/>
        <v>186.68460487982389</v>
      </c>
    </row>
    <row r="15" spans="1:10" x14ac:dyDescent="0.25">
      <c r="A15" s="10">
        <v>14</v>
      </c>
      <c r="B15" s="43">
        <v>219</v>
      </c>
      <c r="C15" s="43">
        <v>679.00000000000011</v>
      </c>
      <c r="D15" s="43">
        <v>767</v>
      </c>
      <c r="E15" s="43">
        <v>1227</v>
      </c>
      <c r="F15" s="60">
        <v>103.56454501452063</v>
      </c>
      <c r="G15" s="60">
        <v>83.120059865303276</v>
      </c>
      <c r="H15" s="12">
        <v>166</v>
      </c>
      <c r="I15" t="s">
        <v>10</v>
      </c>
      <c r="J15">
        <f t="shared" si="0"/>
        <v>186.68460487982389</v>
      </c>
    </row>
    <row r="16" spans="1:10" x14ac:dyDescent="0.25">
      <c r="A16" s="10">
        <v>15</v>
      </c>
      <c r="B16" s="43">
        <v>237</v>
      </c>
      <c r="C16" s="43">
        <v>685.99999999999989</v>
      </c>
      <c r="D16" s="43">
        <v>796</v>
      </c>
      <c r="E16" s="43">
        <v>1257</v>
      </c>
      <c r="F16" s="60">
        <v>103.56454501452063</v>
      </c>
      <c r="G16" s="60">
        <v>83.120059865303276</v>
      </c>
      <c r="H16" s="12">
        <v>166</v>
      </c>
      <c r="I16" t="s">
        <v>10</v>
      </c>
      <c r="J16">
        <f t="shared" si="0"/>
        <v>186.68460487982389</v>
      </c>
    </row>
    <row r="17" spans="1:10" x14ac:dyDescent="0.25">
      <c r="A17" s="10">
        <v>16</v>
      </c>
      <c r="B17" s="43">
        <v>247.00000000000006</v>
      </c>
      <c r="C17" s="43">
        <v>707</v>
      </c>
      <c r="D17" s="43">
        <v>0</v>
      </c>
      <c r="E17" s="43">
        <v>0</v>
      </c>
      <c r="F17" s="60">
        <v>103.56454501452063</v>
      </c>
      <c r="G17" s="60">
        <v>0</v>
      </c>
      <c r="H17" s="12">
        <v>166</v>
      </c>
      <c r="I17" t="s">
        <v>10</v>
      </c>
      <c r="J17">
        <f t="shared" si="0"/>
        <v>103.56454501452063</v>
      </c>
    </row>
    <row r="18" spans="1:10" x14ac:dyDescent="0.25">
      <c r="A18" s="10">
        <v>17</v>
      </c>
      <c r="B18" s="43">
        <v>274.99999999999989</v>
      </c>
      <c r="C18" s="43">
        <v>735</v>
      </c>
      <c r="D18" s="43">
        <v>0</v>
      </c>
      <c r="E18" s="43">
        <v>0</v>
      </c>
      <c r="F18" s="60">
        <v>103.56454501452063</v>
      </c>
      <c r="G18" s="60">
        <v>0</v>
      </c>
      <c r="H18" s="12">
        <v>166</v>
      </c>
      <c r="I18" t="s">
        <v>10</v>
      </c>
      <c r="J18">
        <f t="shared" si="0"/>
        <v>103.56454501452063</v>
      </c>
    </row>
    <row r="19" spans="1:10" x14ac:dyDescent="0.25">
      <c r="A19" s="13">
        <v>18</v>
      </c>
      <c r="B19" s="44">
        <v>81</v>
      </c>
      <c r="C19" s="44">
        <v>526</v>
      </c>
      <c r="D19" s="44">
        <v>586</v>
      </c>
      <c r="E19" s="44">
        <v>1031.0000000000002</v>
      </c>
      <c r="F19" s="61">
        <v>97.608770576131477</v>
      </c>
      <c r="G19" s="61">
        <v>78.929543039319853</v>
      </c>
      <c r="H19" s="15">
        <v>183</v>
      </c>
      <c r="I19" t="s">
        <v>10</v>
      </c>
      <c r="J19">
        <f t="shared" si="0"/>
        <v>176.53831361545133</v>
      </c>
    </row>
    <row r="20" spans="1:10" x14ac:dyDescent="0.25">
      <c r="A20" s="13">
        <v>19</v>
      </c>
      <c r="B20" s="44">
        <v>111</v>
      </c>
      <c r="C20" s="44">
        <v>556</v>
      </c>
      <c r="D20" s="44">
        <v>616</v>
      </c>
      <c r="E20" s="44">
        <v>1061</v>
      </c>
      <c r="F20" s="61">
        <v>97.608770576131477</v>
      </c>
      <c r="G20" s="61">
        <v>78.929543039319853</v>
      </c>
      <c r="H20" s="15">
        <v>183</v>
      </c>
      <c r="I20" t="s">
        <v>10</v>
      </c>
      <c r="J20">
        <f t="shared" si="0"/>
        <v>176.53831361545133</v>
      </c>
    </row>
    <row r="21" spans="1:10" x14ac:dyDescent="0.25">
      <c r="A21" s="13">
        <v>20</v>
      </c>
      <c r="B21" s="44">
        <v>146</v>
      </c>
      <c r="C21" s="44">
        <v>591.00000000000011</v>
      </c>
      <c r="D21" s="44">
        <v>651</v>
      </c>
      <c r="E21" s="44">
        <v>1096</v>
      </c>
      <c r="F21" s="61">
        <v>97.608770576131477</v>
      </c>
      <c r="G21" s="61">
        <v>78.929543039319853</v>
      </c>
      <c r="H21" s="15">
        <v>183</v>
      </c>
      <c r="I21" t="s">
        <v>10</v>
      </c>
      <c r="J21">
        <f t="shared" si="0"/>
        <v>176.53831361545133</v>
      </c>
    </row>
    <row r="22" spans="1:10" x14ac:dyDescent="0.25">
      <c r="A22" s="13">
        <v>21</v>
      </c>
      <c r="B22" s="44">
        <v>181</v>
      </c>
      <c r="C22" s="44">
        <v>626</v>
      </c>
      <c r="D22" s="44">
        <v>685.99999999999989</v>
      </c>
      <c r="E22" s="44">
        <v>1131</v>
      </c>
      <c r="F22" s="61">
        <v>97.608770576131477</v>
      </c>
      <c r="G22" s="61">
        <v>78.929543039319853</v>
      </c>
      <c r="H22" s="15">
        <v>183</v>
      </c>
      <c r="I22" t="s">
        <v>10</v>
      </c>
      <c r="J22">
        <f t="shared" si="0"/>
        <v>176.53831361545133</v>
      </c>
    </row>
    <row r="23" spans="1:10" x14ac:dyDescent="0.25">
      <c r="A23" s="13">
        <v>22</v>
      </c>
      <c r="B23" s="44">
        <v>191</v>
      </c>
      <c r="C23" s="44">
        <v>636.00000000000011</v>
      </c>
      <c r="D23" s="44">
        <v>696</v>
      </c>
      <c r="E23" s="44">
        <v>1141</v>
      </c>
      <c r="F23" s="61">
        <v>97.608770576131477</v>
      </c>
      <c r="G23" s="61">
        <v>78.929543039319853</v>
      </c>
      <c r="H23" s="15">
        <v>183</v>
      </c>
      <c r="I23" t="s">
        <v>10</v>
      </c>
      <c r="J23">
        <f t="shared" si="0"/>
        <v>176.53831361545133</v>
      </c>
    </row>
    <row r="24" spans="1:10" x14ac:dyDescent="0.25">
      <c r="A24" s="13">
        <v>23</v>
      </c>
      <c r="B24" s="44">
        <v>216</v>
      </c>
      <c r="C24" s="44">
        <v>661</v>
      </c>
      <c r="D24" s="44">
        <v>751</v>
      </c>
      <c r="E24" s="44">
        <v>1196</v>
      </c>
      <c r="F24" s="61">
        <v>97.608770576131477</v>
      </c>
      <c r="G24" s="61">
        <v>78.929543039319853</v>
      </c>
      <c r="H24" s="15">
        <v>183</v>
      </c>
      <c r="I24" t="s">
        <v>10</v>
      </c>
      <c r="J24">
        <f t="shared" si="0"/>
        <v>176.53831361545133</v>
      </c>
    </row>
    <row r="25" spans="1:10" x14ac:dyDescent="0.25">
      <c r="A25" s="13">
        <v>24</v>
      </c>
      <c r="B25" s="44">
        <v>246.00000000000006</v>
      </c>
      <c r="C25" s="44">
        <v>691</v>
      </c>
      <c r="D25" s="44">
        <v>761.00000000000011</v>
      </c>
      <c r="E25" s="44">
        <v>1206</v>
      </c>
      <c r="F25" s="61">
        <v>97.608770576131477</v>
      </c>
      <c r="G25" s="61">
        <v>78.929543039319853</v>
      </c>
      <c r="H25" s="15">
        <v>183</v>
      </c>
      <c r="I25" t="s">
        <v>10</v>
      </c>
      <c r="J25">
        <f t="shared" si="0"/>
        <v>176.53831361545133</v>
      </c>
    </row>
    <row r="26" spans="1:10" x14ac:dyDescent="0.25">
      <c r="A26" s="13">
        <v>25</v>
      </c>
      <c r="B26" s="44">
        <v>261.00000000000006</v>
      </c>
      <c r="C26" s="44">
        <v>701</v>
      </c>
      <c r="D26" s="44">
        <v>0</v>
      </c>
      <c r="E26" s="44">
        <v>0</v>
      </c>
      <c r="F26" s="61">
        <v>97.608770576131477</v>
      </c>
      <c r="G26" s="61">
        <v>0</v>
      </c>
      <c r="H26" s="15">
        <v>183</v>
      </c>
      <c r="I26" t="s">
        <v>10</v>
      </c>
      <c r="J26">
        <f t="shared" si="0"/>
        <v>97.608770576131477</v>
      </c>
    </row>
    <row r="27" spans="1:10" x14ac:dyDescent="0.25">
      <c r="A27" s="16">
        <v>26</v>
      </c>
      <c r="B27" s="45">
        <v>41</v>
      </c>
      <c r="C27" s="45">
        <v>486</v>
      </c>
      <c r="D27" s="45">
        <v>546.00000000000011</v>
      </c>
      <c r="E27" s="45">
        <v>981</v>
      </c>
      <c r="F27" s="62">
        <v>109.07694375857339</v>
      </c>
      <c r="G27" s="62">
        <v>80.852958546280504</v>
      </c>
      <c r="H27" s="18">
        <v>199</v>
      </c>
      <c r="I27" t="s">
        <v>10</v>
      </c>
      <c r="J27">
        <f t="shared" si="0"/>
        <v>189.9299023048539</v>
      </c>
    </row>
    <row r="28" spans="1:10" x14ac:dyDescent="0.25">
      <c r="A28" s="16">
        <v>27</v>
      </c>
      <c r="B28" s="45">
        <v>61</v>
      </c>
      <c r="C28" s="45">
        <v>505.99999999999989</v>
      </c>
      <c r="D28" s="45">
        <v>566</v>
      </c>
      <c r="E28" s="45">
        <v>1010.9999999999998</v>
      </c>
      <c r="F28" s="62">
        <v>109.07694375857339</v>
      </c>
      <c r="G28" s="62">
        <v>80.852958546280504</v>
      </c>
      <c r="H28" s="18">
        <v>199</v>
      </c>
      <c r="I28" t="s">
        <v>10</v>
      </c>
      <c r="J28">
        <f t="shared" si="0"/>
        <v>189.9299023048539</v>
      </c>
    </row>
    <row r="29" spans="1:10" x14ac:dyDescent="0.25">
      <c r="A29" s="16">
        <v>28</v>
      </c>
      <c r="B29" s="45">
        <v>80.999999999999659</v>
      </c>
      <c r="C29" s="45">
        <v>531</v>
      </c>
      <c r="D29" s="45">
        <v>586.00000000000045</v>
      </c>
      <c r="E29" s="45">
        <v>1036</v>
      </c>
      <c r="F29" s="62">
        <v>109.07694375857339</v>
      </c>
      <c r="G29" s="62">
        <v>80.852958546280504</v>
      </c>
      <c r="H29" s="18">
        <v>199</v>
      </c>
      <c r="I29" t="s">
        <v>10</v>
      </c>
      <c r="J29">
        <f t="shared" si="0"/>
        <v>189.9299023048539</v>
      </c>
    </row>
    <row r="30" spans="1:10" x14ac:dyDescent="0.25">
      <c r="A30" s="16">
        <v>29</v>
      </c>
      <c r="B30" s="45">
        <v>100.99999999999983</v>
      </c>
      <c r="C30" s="45">
        <v>546.00000000000011</v>
      </c>
      <c r="D30" s="45">
        <v>605.99999999999932</v>
      </c>
      <c r="E30" s="45">
        <v>1051</v>
      </c>
      <c r="F30" s="62">
        <v>109.07694375857339</v>
      </c>
      <c r="G30" s="62">
        <v>80.852958546280504</v>
      </c>
      <c r="H30" s="18">
        <v>199</v>
      </c>
      <c r="I30" t="s">
        <v>10</v>
      </c>
      <c r="J30">
        <f t="shared" si="0"/>
        <v>189.9299023048539</v>
      </c>
    </row>
    <row r="31" spans="1:10" x14ac:dyDescent="0.25">
      <c r="A31" s="16">
        <v>30</v>
      </c>
      <c r="B31" s="45">
        <v>116</v>
      </c>
      <c r="C31" s="45">
        <v>561</v>
      </c>
      <c r="D31" s="45">
        <v>621</v>
      </c>
      <c r="E31" s="45">
        <v>1066</v>
      </c>
      <c r="F31" s="62">
        <v>109.07694375857339</v>
      </c>
      <c r="G31" s="62">
        <v>80.852958546280504</v>
      </c>
      <c r="H31" s="18">
        <v>199</v>
      </c>
      <c r="I31" t="s">
        <v>10</v>
      </c>
      <c r="J31">
        <f t="shared" si="0"/>
        <v>189.9299023048539</v>
      </c>
    </row>
    <row r="32" spans="1:10" x14ac:dyDescent="0.25">
      <c r="A32" s="16">
        <v>31</v>
      </c>
      <c r="B32" s="45">
        <v>131.00000000000006</v>
      </c>
      <c r="C32" s="45">
        <v>576</v>
      </c>
      <c r="D32" s="45">
        <v>636.00000000000011</v>
      </c>
      <c r="E32" s="45">
        <v>1081</v>
      </c>
      <c r="F32" s="62">
        <v>109.07694375857339</v>
      </c>
      <c r="G32" s="62">
        <v>80.852958546280504</v>
      </c>
      <c r="H32" s="18">
        <v>199</v>
      </c>
      <c r="I32" t="s">
        <v>10</v>
      </c>
      <c r="J32">
        <f t="shared" si="0"/>
        <v>189.9299023048539</v>
      </c>
    </row>
    <row r="33" spans="1:10" x14ac:dyDescent="0.25">
      <c r="A33" s="16">
        <v>32</v>
      </c>
      <c r="B33" s="45">
        <v>145.99999999999983</v>
      </c>
      <c r="C33" s="45">
        <v>591.00000000000011</v>
      </c>
      <c r="D33" s="45">
        <v>651</v>
      </c>
      <c r="E33" s="45">
        <v>1096</v>
      </c>
      <c r="F33" s="62">
        <v>109.07694375857339</v>
      </c>
      <c r="G33" s="62">
        <v>80.852958546280504</v>
      </c>
      <c r="H33" s="18">
        <v>199</v>
      </c>
      <c r="I33" t="s">
        <v>10</v>
      </c>
      <c r="J33">
        <f t="shared" si="0"/>
        <v>189.9299023048539</v>
      </c>
    </row>
    <row r="34" spans="1:10" x14ac:dyDescent="0.25">
      <c r="A34" s="16">
        <v>33</v>
      </c>
      <c r="B34" s="45">
        <v>161.00000000000034</v>
      </c>
      <c r="C34" s="45">
        <v>606</v>
      </c>
      <c r="D34" s="45">
        <v>666</v>
      </c>
      <c r="E34" s="45">
        <v>1111</v>
      </c>
      <c r="F34" s="62">
        <v>109.07694375857339</v>
      </c>
      <c r="G34" s="62">
        <v>80.852958546280504</v>
      </c>
      <c r="H34" s="18">
        <v>199</v>
      </c>
      <c r="I34" t="s">
        <v>10</v>
      </c>
      <c r="J34">
        <f t="shared" si="0"/>
        <v>189.9299023048539</v>
      </c>
    </row>
    <row r="35" spans="1:10" x14ac:dyDescent="0.25">
      <c r="A35" s="16">
        <v>34</v>
      </c>
      <c r="B35" s="45">
        <v>175.99999999999932</v>
      </c>
      <c r="C35" s="45">
        <v>621</v>
      </c>
      <c r="D35" s="45">
        <v>711</v>
      </c>
      <c r="E35" s="45">
        <v>1156</v>
      </c>
      <c r="F35" s="62">
        <v>109.07694375857339</v>
      </c>
      <c r="G35" s="62">
        <v>80.852958546280504</v>
      </c>
      <c r="H35" s="18">
        <v>199</v>
      </c>
      <c r="I35" t="s">
        <v>10</v>
      </c>
      <c r="J35">
        <f t="shared" si="0"/>
        <v>189.9299023048539</v>
      </c>
    </row>
    <row r="36" spans="1:10" x14ac:dyDescent="0.25">
      <c r="A36" s="16">
        <v>35</v>
      </c>
      <c r="B36" s="45">
        <v>190.99999999999983</v>
      </c>
      <c r="C36" s="45">
        <v>636.00000000000011</v>
      </c>
      <c r="D36" s="45">
        <v>725.99999999999989</v>
      </c>
      <c r="E36" s="45">
        <v>1171</v>
      </c>
      <c r="F36" s="62">
        <v>109.07694375857339</v>
      </c>
      <c r="G36" s="62">
        <v>80.852958546280504</v>
      </c>
      <c r="H36" s="18">
        <v>199</v>
      </c>
      <c r="I36" t="s">
        <v>10</v>
      </c>
      <c r="J36">
        <f t="shared" si="0"/>
        <v>189.9299023048539</v>
      </c>
    </row>
    <row r="37" spans="1:10" x14ac:dyDescent="0.25">
      <c r="A37" s="16">
        <v>36</v>
      </c>
      <c r="B37" s="45">
        <v>206.00000000000034</v>
      </c>
      <c r="C37" s="45">
        <v>651</v>
      </c>
      <c r="D37" s="45">
        <v>740.99999999999989</v>
      </c>
      <c r="E37" s="45">
        <v>1186</v>
      </c>
      <c r="F37" s="62">
        <v>109.07694375857339</v>
      </c>
      <c r="G37" s="62">
        <v>80.852958546280504</v>
      </c>
      <c r="H37" s="18">
        <v>199</v>
      </c>
      <c r="I37" t="s">
        <v>10</v>
      </c>
      <c r="J37">
        <f t="shared" si="0"/>
        <v>189.9299023048539</v>
      </c>
    </row>
    <row r="38" spans="1:10" x14ac:dyDescent="0.25">
      <c r="A38" s="16">
        <v>37</v>
      </c>
      <c r="B38" s="45">
        <v>221.0000000000008</v>
      </c>
      <c r="C38" s="45">
        <v>666</v>
      </c>
      <c r="D38" s="45">
        <v>756</v>
      </c>
      <c r="E38" s="45">
        <v>1211</v>
      </c>
      <c r="F38" s="62">
        <v>109.07694375857339</v>
      </c>
      <c r="G38" s="62">
        <v>80.852958546280504</v>
      </c>
      <c r="H38" s="18">
        <v>199</v>
      </c>
      <c r="I38" t="s">
        <v>10</v>
      </c>
      <c r="J38">
        <f t="shared" si="0"/>
        <v>189.9299023048539</v>
      </c>
    </row>
    <row r="39" spans="1:10" x14ac:dyDescent="0.25">
      <c r="A39" s="16">
        <v>38</v>
      </c>
      <c r="B39" s="45">
        <v>235.99999999999983</v>
      </c>
      <c r="C39" s="45">
        <v>681.00000000000011</v>
      </c>
      <c r="D39" s="45">
        <v>770.99999999999989</v>
      </c>
      <c r="E39" s="45">
        <v>1216</v>
      </c>
      <c r="F39" s="62">
        <v>109.07694375857339</v>
      </c>
      <c r="G39" s="62">
        <v>80.852958546280504</v>
      </c>
      <c r="H39" s="18">
        <v>199</v>
      </c>
      <c r="I39" t="s">
        <v>10</v>
      </c>
      <c r="J39">
        <f t="shared" si="0"/>
        <v>189.9299023048539</v>
      </c>
    </row>
    <row r="40" spans="1:10" x14ac:dyDescent="0.25">
      <c r="A40" s="16">
        <v>39</v>
      </c>
      <c r="B40" s="45">
        <v>251.00000000000034</v>
      </c>
      <c r="C40" s="45">
        <v>696</v>
      </c>
      <c r="D40" s="45">
        <v>0</v>
      </c>
      <c r="E40" s="45">
        <v>0</v>
      </c>
      <c r="F40" s="62">
        <v>109.07694375857339</v>
      </c>
      <c r="G40" s="62">
        <v>0</v>
      </c>
      <c r="H40" s="18">
        <v>199</v>
      </c>
      <c r="I40" t="s">
        <v>10</v>
      </c>
      <c r="J40">
        <f t="shared" si="0"/>
        <v>109.07694375857339</v>
      </c>
    </row>
    <row r="41" spans="1:10" x14ac:dyDescent="0.25">
      <c r="A41" s="16">
        <v>40</v>
      </c>
      <c r="B41" s="45">
        <v>266.0000000000008</v>
      </c>
      <c r="C41" s="45">
        <v>711</v>
      </c>
      <c r="D41" s="45">
        <v>0</v>
      </c>
      <c r="E41" s="45">
        <v>0</v>
      </c>
      <c r="F41" s="62">
        <v>109.07694375857339</v>
      </c>
      <c r="G41" s="62">
        <v>0</v>
      </c>
      <c r="H41" s="18">
        <v>199</v>
      </c>
      <c r="I41" t="s">
        <v>10</v>
      </c>
      <c r="J41">
        <f t="shared" si="0"/>
        <v>109.07694375857339</v>
      </c>
    </row>
    <row r="42" spans="1:10" x14ac:dyDescent="0.25">
      <c r="A42" s="19">
        <v>41</v>
      </c>
      <c r="B42" s="46">
        <v>1</v>
      </c>
      <c r="C42" s="46">
        <v>461</v>
      </c>
      <c r="D42" s="46">
        <v>541</v>
      </c>
      <c r="E42" s="46">
        <v>1001</v>
      </c>
      <c r="F42" s="63">
        <v>118.95720713305883</v>
      </c>
      <c r="G42" s="63">
        <v>113.20233608815433</v>
      </c>
      <c r="H42" s="21">
        <v>889</v>
      </c>
      <c r="I42" t="s">
        <v>10</v>
      </c>
      <c r="J42">
        <f t="shared" si="0"/>
        <v>232.15954322121314</v>
      </c>
    </row>
    <row r="43" spans="1:10" x14ac:dyDescent="0.25">
      <c r="A43" s="19">
        <v>42</v>
      </c>
      <c r="B43" s="46">
        <v>16</v>
      </c>
      <c r="C43" s="46">
        <v>475.99999999999989</v>
      </c>
      <c r="D43" s="46">
        <v>556</v>
      </c>
      <c r="E43" s="46">
        <v>1016</v>
      </c>
      <c r="F43" s="63">
        <v>118.95720713305883</v>
      </c>
      <c r="G43" s="63">
        <v>113.20233608815433</v>
      </c>
      <c r="H43" s="21">
        <v>889</v>
      </c>
      <c r="I43" t="s">
        <v>10</v>
      </c>
      <c r="J43">
        <f t="shared" si="0"/>
        <v>232.15954322121314</v>
      </c>
    </row>
    <row r="44" spans="1:10" x14ac:dyDescent="0.25">
      <c r="A44" s="19">
        <v>43</v>
      </c>
      <c r="B44" s="46">
        <v>31</v>
      </c>
      <c r="C44" s="46">
        <v>491</v>
      </c>
      <c r="D44" s="46">
        <v>571</v>
      </c>
      <c r="E44" s="46">
        <v>1030.9999999999993</v>
      </c>
      <c r="F44" s="63">
        <v>118.95720713305883</v>
      </c>
      <c r="G44" s="63">
        <v>113.20233608815433</v>
      </c>
      <c r="H44" s="21">
        <v>889</v>
      </c>
      <c r="I44" t="s">
        <v>10</v>
      </c>
      <c r="J44">
        <f t="shared" si="0"/>
        <v>232.15954322121314</v>
      </c>
    </row>
    <row r="45" spans="1:10" x14ac:dyDescent="0.25">
      <c r="A45" s="19">
        <v>44</v>
      </c>
      <c r="B45" s="46">
        <v>46</v>
      </c>
      <c r="C45" s="46">
        <v>505.99999999999989</v>
      </c>
      <c r="D45" s="46">
        <v>586.00000000000045</v>
      </c>
      <c r="E45" s="46">
        <v>1046</v>
      </c>
      <c r="F45" s="63">
        <v>118.95720713305883</v>
      </c>
      <c r="G45" s="63">
        <v>113.20233608815433</v>
      </c>
      <c r="H45" s="21">
        <v>889</v>
      </c>
      <c r="I45" t="s">
        <v>10</v>
      </c>
      <c r="J45">
        <f t="shared" si="0"/>
        <v>232.15954322121314</v>
      </c>
    </row>
    <row r="46" spans="1:10" x14ac:dyDescent="0.25">
      <c r="A46" s="19">
        <v>45</v>
      </c>
      <c r="B46" s="46">
        <v>61</v>
      </c>
      <c r="C46" s="46">
        <v>521</v>
      </c>
      <c r="D46" s="46">
        <v>601.00000000000102</v>
      </c>
      <c r="E46" s="46">
        <v>1061.0000000000002</v>
      </c>
      <c r="F46" s="63">
        <v>118.95720713305883</v>
      </c>
      <c r="G46" s="63">
        <v>113.20233608815433</v>
      </c>
      <c r="H46" s="21">
        <v>889</v>
      </c>
      <c r="I46" t="s">
        <v>10</v>
      </c>
      <c r="J46">
        <f t="shared" si="0"/>
        <v>232.15954322121314</v>
      </c>
    </row>
    <row r="47" spans="1:10" x14ac:dyDescent="0.25">
      <c r="A47" s="19">
        <v>46</v>
      </c>
      <c r="B47" s="46">
        <v>76</v>
      </c>
      <c r="C47" s="46">
        <v>536</v>
      </c>
      <c r="D47" s="46">
        <v>616</v>
      </c>
      <c r="E47" s="46">
        <v>1075.9999999999993</v>
      </c>
      <c r="F47" s="63">
        <v>118.95720713305883</v>
      </c>
      <c r="G47" s="63">
        <v>113.20233608815433</v>
      </c>
      <c r="H47" s="21">
        <v>889</v>
      </c>
      <c r="I47" t="s">
        <v>10</v>
      </c>
      <c r="J47">
        <f t="shared" si="0"/>
        <v>232.15954322121314</v>
      </c>
    </row>
    <row r="48" spans="1:10" x14ac:dyDescent="0.25">
      <c r="A48" s="19">
        <v>47</v>
      </c>
      <c r="B48" s="46">
        <v>91</v>
      </c>
      <c r="C48" s="46">
        <v>550.99999999999989</v>
      </c>
      <c r="D48" s="46">
        <v>631.00000000000045</v>
      </c>
      <c r="E48" s="46">
        <v>1091</v>
      </c>
      <c r="F48" s="63">
        <v>118.95720713305883</v>
      </c>
      <c r="G48" s="63">
        <v>113.20233608815433</v>
      </c>
      <c r="H48" s="21">
        <v>889</v>
      </c>
      <c r="I48" t="s">
        <v>10</v>
      </c>
      <c r="J48">
        <f t="shared" si="0"/>
        <v>232.15954322121314</v>
      </c>
    </row>
    <row r="49" spans="1:10" x14ac:dyDescent="0.25">
      <c r="A49" s="19">
        <v>48</v>
      </c>
      <c r="B49" s="46">
        <v>106</v>
      </c>
      <c r="C49" s="46">
        <v>566</v>
      </c>
      <c r="D49" s="46">
        <v>646.00000000000102</v>
      </c>
      <c r="E49" s="46">
        <v>1106.0000000000002</v>
      </c>
      <c r="F49" s="63">
        <v>118.95720713305883</v>
      </c>
      <c r="G49" s="63">
        <v>113.20233608815433</v>
      </c>
      <c r="H49" s="21">
        <v>889</v>
      </c>
      <c r="I49" t="s">
        <v>10</v>
      </c>
      <c r="J49">
        <f t="shared" si="0"/>
        <v>232.15954322121314</v>
      </c>
    </row>
    <row r="50" spans="1:10" x14ac:dyDescent="0.25">
      <c r="A50" s="19">
        <v>49</v>
      </c>
      <c r="B50" s="46">
        <v>121</v>
      </c>
      <c r="C50" s="46">
        <v>581</v>
      </c>
      <c r="D50" s="46">
        <v>661.00000000000148</v>
      </c>
      <c r="E50" s="46">
        <v>1120.9999999999993</v>
      </c>
      <c r="F50" s="63">
        <v>118.95720713305883</v>
      </c>
      <c r="G50" s="63">
        <v>113.20233608815433</v>
      </c>
      <c r="H50" s="21">
        <v>889</v>
      </c>
      <c r="I50" t="s">
        <v>10</v>
      </c>
      <c r="J50">
        <f t="shared" si="0"/>
        <v>232.15954322121314</v>
      </c>
    </row>
    <row r="51" spans="1:10" x14ac:dyDescent="0.25">
      <c r="A51" s="19">
        <v>50</v>
      </c>
      <c r="B51" s="46">
        <v>136</v>
      </c>
      <c r="C51" s="46">
        <v>595.99999999999989</v>
      </c>
      <c r="D51" s="46">
        <v>676.00000000000045</v>
      </c>
      <c r="E51" s="46">
        <v>1136</v>
      </c>
      <c r="F51" s="63">
        <v>118.95720713305883</v>
      </c>
      <c r="G51" s="63">
        <v>113.20233608815433</v>
      </c>
      <c r="H51" s="21">
        <v>889</v>
      </c>
      <c r="I51" t="s">
        <v>10</v>
      </c>
      <c r="J51">
        <f t="shared" si="0"/>
        <v>232.15954322121314</v>
      </c>
    </row>
    <row r="52" spans="1:10" x14ac:dyDescent="0.25">
      <c r="A52" s="19">
        <v>51</v>
      </c>
      <c r="B52" s="46">
        <v>151</v>
      </c>
      <c r="C52" s="46">
        <v>611</v>
      </c>
      <c r="D52" s="46">
        <v>691.00000000000102</v>
      </c>
      <c r="E52" s="46">
        <v>1150.9999999999989</v>
      </c>
      <c r="F52" s="63">
        <v>118.95720713305883</v>
      </c>
      <c r="G52" s="63">
        <v>113.20233608815433</v>
      </c>
      <c r="H52" s="21">
        <v>889</v>
      </c>
      <c r="I52" t="s">
        <v>10</v>
      </c>
      <c r="J52">
        <f t="shared" si="0"/>
        <v>232.15954322121314</v>
      </c>
    </row>
    <row r="53" spans="1:10" x14ac:dyDescent="0.25">
      <c r="A53" s="19">
        <v>52</v>
      </c>
      <c r="B53" s="46">
        <v>166</v>
      </c>
      <c r="C53" s="46">
        <v>626</v>
      </c>
      <c r="D53" s="46">
        <v>706.00000000000148</v>
      </c>
      <c r="E53" s="46">
        <v>1166</v>
      </c>
      <c r="F53" s="63">
        <v>118.95720713305883</v>
      </c>
      <c r="G53" s="63">
        <v>113.20233608815433</v>
      </c>
      <c r="H53" s="21">
        <v>889</v>
      </c>
      <c r="I53" t="s">
        <v>10</v>
      </c>
      <c r="J53">
        <f t="shared" si="0"/>
        <v>232.15954322121314</v>
      </c>
    </row>
    <row r="54" spans="1:10" x14ac:dyDescent="0.25">
      <c r="A54" s="19">
        <v>53</v>
      </c>
      <c r="B54" s="46">
        <v>181</v>
      </c>
      <c r="C54" s="46">
        <v>640.99999999999989</v>
      </c>
      <c r="D54" s="46">
        <v>721.00000000000182</v>
      </c>
      <c r="E54" s="46">
        <v>1181</v>
      </c>
      <c r="F54" s="63">
        <v>118.95720713305883</v>
      </c>
      <c r="G54" s="63">
        <v>113.20233608815433</v>
      </c>
      <c r="H54" s="21">
        <v>889</v>
      </c>
      <c r="I54" t="s">
        <v>10</v>
      </c>
      <c r="J54">
        <f t="shared" si="0"/>
        <v>232.15954322121314</v>
      </c>
    </row>
    <row r="55" spans="1:10" x14ac:dyDescent="0.25">
      <c r="A55" s="19">
        <v>54</v>
      </c>
      <c r="B55" s="46">
        <v>196</v>
      </c>
      <c r="C55" s="46">
        <v>656</v>
      </c>
      <c r="D55" s="46">
        <v>736.00000000000239</v>
      </c>
      <c r="E55" s="46">
        <v>1196</v>
      </c>
      <c r="F55" s="63">
        <v>118.95720713305883</v>
      </c>
      <c r="G55" s="63">
        <v>113.20233608815433</v>
      </c>
      <c r="H55" s="21">
        <v>889</v>
      </c>
      <c r="I55" t="s">
        <v>10</v>
      </c>
      <c r="J55">
        <f t="shared" si="0"/>
        <v>232.15954322121314</v>
      </c>
    </row>
    <row r="56" spans="1:10" x14ac:dyDescent="0.25">
      <c r="A56" s="19">
        <v>55</v>
      </c>
      <c r="B56" s="46">
        <v>211</v>
      </c>
      <c r="C56" s="46">
        <v>671</v>
      </c>
      <c r="D56" s="46">
        <v>751.00000000000148</v>
      </c>
      <c r="E56" s="46">
        <v>1221</v>
      </c>
      <c r="F56" s="63">
        <v>118.95720713305883</v>
      </c>
      <c r="G56" s="63">
        <v>113.20233608815433</v>
      </c>
      <c r="H56" s="21">
        <v>889</v>
      </c>
      <c r="I56" t="s">
        <v>10</v>
      </c>
      <c r="J56">
        <f t="shared" si="0"/>
        <v>232.15954322121314</v>
      </c>
    </row>
    <row r="57" spans="1:10" x14ac:dyDescent="0.25">
      <c r="A57" s="22">
        <v>56</v>
      </c>
      <c r="B57" s="47">
        <v>41</v>
      </c>
      <c r="C57" s="47">
        <v>486</v>
      </c>
      <c r="D57" s="47">
        <v>631</v>
      </c>
      <c r="E57" s="47">
        <v>1076.0000000000002</v>
      </c>
      <c r="F57" s="64">
        <v>105.55293827160511</v>
      </c>
      <c r="G57" s="64">
        <v>81.1295847750864</v>
      </c>
      <c r="H57" s="24" t="s">
        <v>11</v>
      </c>
      <c r="I57" t="s">
        <v>10</v>
      </c>
      <c r="J57">
        <f t="shared" si="0"/>
        <v>186.68252304669153</v>
      </c>
    </row>
    <row r="58" spans="1:10" x14ac:dyDescent="0.25">
      <c r="A58" s="22">
        <v>57</v>
      </c>
      <c r="B58" s="47">
        <v>121</v>
      </c>
      <c r="C58" s="47">
        <v>566</v>
      </c>
      <c r="D58" s="47">
        <v>671</v>
      </c>
      <c r="E58" s="47">
        <v>1116</v>
      </c>
      <c r="F58" s="64">
        <v>105.55293827160511</v>
      </c>
      <c r="G58" s="64">
        <v>81.1295847750864</v>
      </c>
      <c r="H58" s="24" t="s">
        <v>11</v>
      </c>
      <c r="I58" t="s">
        <v>10</v>
      </c>
      <c r="J58">
        <f t="shared" si="0"/>
        <v>186.68252304669153</v>
      </c>
    </row>
    <row r="59" spans="1:10" x14ac:dyDescent="0.25">
      <c r="A59" s="22">
        <v>58</v>
      </c>
      <c r="B59" s="47">
        <v>161</v>
      </c>
      <c r="C59" s="47">
        <v>606</v>
      </c>
      <c r="D59" s="47">
        <v>711</v>
      </c>
      <c r="E59" s="47">
        <v>1156</v>
      </c>
      <c r="F59" s="64">
        <v>105.55293827160511</v>
      </c>
      <c r="G59" s="64">
        <v>81.1295847750864</v>
      </c>
      <c r="H59" s="24" t="s">
        <v>11</v>
      </c>
      <c r="I59" t="s">
        <v>10</v>
      </c>
      <c r="J59">
        <f t="shared" si="0"/>
        <v>186.68252304669153</v>
      </c>
    </row>
    <row r="60" spans="1:10" x14ac:dyDescent="0.25">
      <c r="A60" s="22">
        <v>59</v>
      </c>
      <c r="B60" s="47">
        <v>200.99999999999994</v>
      </c>
      <c r="C60" s="47">
        <v>646</v>
      </c>
      <c r="D60" s="47">
        <v>790.99999999999977</v>
      </c>
      <c r="E60" s="47">
        <v>1236</v>
      </c>
      <c r="F60" s="64">
        <v>105.55293827160511</v>
      </c>
      <c r="G60" s="64">
        <v>81.1295847750864</v>
      </c>
      <c r="H60" s="24" t="s">
        <v>11</v>
      </c>
      <c r="I60" t="s">
        <v>10</v>
      </c>
      <c r="J60">
        <f t="shared" si="0"/>
        <v>186.68252304669153</v>
      </c>
    </row>
    <row r="61" spans="1:10" x14ac:dyDescent="0.25">
      <c r="A61" s="22">
        <v>60</v>
      </c>
      <c r="B61" s="47">
        <v>281</v>
      </c>
      <c r="C61" s="47">
        <v>725.99999999999989</v>
      </c>
      <c r="D61" s="47">
        <v>0</v>
      </c>
      <c r="E61" s="47">
        <v>0</v>
      </c>
      <c r="F61" s="64">
        <v>105.55293827160511</v>
      </c>
      <c r="G61" s="64">
        <v>0</v>
      </c>
      <c r="H61" s="24" t="s">
        <v>11</v>
      </c>
      <c r="I61" t="s">
        <v>10</v>
      </c>
      <c r="J61">
        <f t="shared" si="0"/>
        <v>105.55293827160511</v>
      </c>
    </row>
    <row r="62" spans="1:10" x14ac:dyDescent="0.25">
      <c r="A62" s="25">
        <v>61</v>
      </c>
      <c r="B62" s="48">
        <v>21</v>
      </c>
      <c r="C62" s="48">
        <v>475.99999999999989</v>
      </c>
      <c r="D62" s="48">
        <v>545.99999999999989</v>
      </c>
      <c r="E62" s="48">
        <v>1001</v>
      </c>
      <c r="F62" s="65">
        <v>119.41947016460924</v>
      </c>
      <c r="G62" s="65">
        <v>118.87291322314047</v>
      </c>
      <c r="H62" s="27" t="s">
        <v>12</v>
      </c>
      <c r="I62" t="s">
        <v>10</v>
      </c>
      <c r="J62">
        <f t="shared" si="0"/>
        <v>238.29238338774971</v>
      </c>
    </row>
    <row r="63" spans="1:10" x14ac:dyDescent="0.25">
      <c r="A63" s="25">
        <v>62</v>
      </c>
      <c r="B63" s="48">
        <v>50.999999999999943</v>
      </c>
      <c r="C63" s="48">
        <v>505.99999999999989</v>
      </c>
      <c r="D63" s="48">
        <v>576</v>
      </c>
      <c r="E63" s="48">
        <v>1055.9999999999998</v>
      </c>
      <c r="F63" s="65">
        <v>119.41947016460924</v>
      </c>
      <c r="G63" s="65">
        <v>118.87291322314047</v>
      </c>
      <c r="H63" s="27" t="s">
        <v>12</v>
      </c>
      <c r="I63" t="s">
        <v>10</v>
      </c>
      <c r="J63">
        <f t="shared" si="0"/>
        <v>238.29238338774971</v>
      </c>
    </row>
    <row r="64" spans="1:10" x14ac:dyDescent="0.25">
      <c r="A64" s="25">
        <v>63</v>
      </c>
      <c r="B64" s="48">
        <v>81</v>
      </c>
      <c r="C64" s="48">
        <v>536</v>
      </c>
      <c r="D64" s="48">
        <v>605.99999999999989</v>
      </c>
      <c r="E64" s="48">
        <v>1061</v>
      </c>
      <c r="F64" s="65">
        <v>119.41947016460924</v>
      </c>
      <c r="G64" s="65">
        <v>118.87291322314047</v>
      </c>
      <c r="H64" s="27" t="s">
        <v>12</v>
      </c>
      <c r="I64" t="s">
        <v>10</v>
      </c>
      <c r="J64">
        <f t="shared" si="0"/>
        <v>238.29238338774971</v>
      </c>
    </row>
    <row r="65" spans="1:10" x14ac:dyDescent="0.25">
      <c r="A65" s="25">
        <v>64</v>
      </c>
      <c r="B65" s="48">
        <v>111</v>
      </c>
      <c r="C65" s="48">
        <v>566</v>
      </c>
      <c r="D65" s="48">
        <v>635.99999999999989</v>
      </c>
      <c r="E65" s="48">
        <v>1091</v>
      </c>
      <c r="F65" s="65">
        <v>119.41947016460924</v>
      </c>
      <c r="G65" s="65">
        <v>118.87291322314047</v>
      </c>
      <c r="H65" s="27" t="s">
        <v>12</v>
      </c>
      <c r="I65" t="s">
        <v>10</v>
      </c>
      <c r="J65">
        <f t="shared" si="0"/>
        <v>238.29238338774971</v>
      </c>
    </row>
    <row r="66" spans="1:10" x14ac:dyDescent="0.25">
      <c r="A66" s="25">
        <v>65</v>
      </c>
      <c r="B66" s="48">
        <v>141</v>
      </c>
      <c r="C66" s="48">
        <v>595.99999999999989</v>
      </c>
      <c r="D66" s="48">
        <v>666</v>
      </c>
      <c r="E66" s="48">
        <v>1121.0000000000002</v>
      </c>
      <c r="F66" s="65">
        <v>119.41947016460924</v>
      </c>
      <c r="G66" s="65">
        <v>118.87291322314047</v>
      </c>
      <c r="H66" s="27" t="s">
        <v>12</v>
      </c>
      <c r="I66" t="s">
        <v>10</v>
      </c>
      <c r="J66">
        <f t="shared" si="0"/>
        <v>238.29238338774971</v>
      </c>
    </row>
    <row r="67" spans="1:10" x14ac:dyDescent="0.25">
      <c r="A67" s="25">
        <v>66</v>
      </c>
      <c r="B67" s="48">
        <v>171</v>
      </c>
      <c r="C67" s="48">
        <v>626</v>
      </c>
      <c r="D67" s="48">
        <v>695.99999999999989</v>
      </c>
      <c r="E67" s="48">
        <v>1151</v>
      </c>
      <c r="F67" s="65">
        <v>119.41947016460924</v>
      </c>
      <c r="G67" s="65">
        <v>118.87291322314047</v>
      </c>
      <c r="H67" s="27" t="s">
        <v>12</v>
      </c>
      <c r="I67" t="s">
        <v>10</v>
      </c>
      <c r="J67">
        <f t="shared" ref="J67:J102" si="1">SUM(F67:G67)</f>
        <v>238.29238338774971</v>
      </c>
    </row>
    <row r="68" spans="1:10" x14ac:dyDescent="0.25">
      <c r="A68" s="25">
        <v>67</v>
      </c>
      <c r="B68" s="48">
        <v>200.99999999999994</v>
      </c>
      <c r="C68" s="48">
        <v>656</v>
      </c>
      <c r="D68" s="48">
        <v>725.99999999999989</v>
      </c>
      <c r="E68" s="48">
        <v>1181</v>
      </c>
      <c r="F68" s="65">
        <v>119.41947016460924</v>
      </c>
      <c r="G68" s="65">
        <v>118.87291322314047</v>
      </c>
      <c r="H68" s="27" t="s">
        <v>12</v>
      </c>
      <c r="I68" t="s">
        <v>10</v>
      </c>
      <c r="J68">
        <f t="shared" si="1"/>
        <v>238.29238338774971</v>
      </c>
    </row>
    <row r="69" spans="1:10" x14ac:dyDescent="0.25">
      <c r="A69" s="25">
        <v>68</v>
      </c>
      <c r="B69" s="48">
        <v>231</v>
      </c>
      <c r="C69" s="48">
        <v>685.99999999999989</v>
      </c>
      <c r="D69" s="48">
        <v>756</v>
      </c>
      <c r="E69" s="48">
        <v>1211</v>
      </c>
      <c r="F69" s="65">
        <v>119.41947016460924</v>
      </c>
      <c r="G69" s="65">
        <v>118.87291322314047</v>
      </c>
      <c r="H69" s="27" t="s">
        <v>12</v>
      </c>
      <c r="I69" t="s">
        <v>10</v>
      </c>
      <c r="J69">
        <f t="shared" si="1"/>
        <v>238.29238338774971</v>
      </c>
    </row>
    <row r="70" spans="1:10" x14ac:dyDescent="0.25">
      <c r="A70" s="7">
        <v>69</v>
      </c>
      <c r="B70" s="49">
        <v>51</v>
      </c>
      <c r="C70" s="49">
        <v>496</v>
      </c>
      <c r="D70" s="49">
        <v>570.99999999999989</v>
      </c>
      <c r="E70" s="49">
        <v>1016</v>
      </c>
      <c r="F70" s="66">
        <v>110.20985233599583</v>
      </c>
      <c r="G70" s="66">
        <v>108.70678658240134</v>
      </c>
      <c r="H70" s="9" t="s">
        <v>13</v>
      </c>
      <c r="I70" t="s">
        <v>10</v>
      </c>
      <c r="J70">
        <f t="shared" si="1"/>
        <v>218.91663891839715</v>
      </c>
    </row>
    <row r="71" spans="1:10" x14ac:dyDescent="0.25">
      <c r="A71" s="7">
        <v>70</v>
      </c>
      <c r="B71" s="49">
        <v>76.000000000000057</v>
      </c>
      <c r="C71" s="49">
        <v>521</v>
      </c>
      <c r="D71" s="49">
        <v>590.99999999999989</v>
      </c>
      <c r="E71" s="49">
        <v>1036</v>
      </c>
      <c r="F71" s="66">
        <v>110.20985233599583</v>
      </c>
      <c r="G71" s="66">
        <v>108.70678658240134</v>
      </c>
      <c r="H71" s="9" t="s">
        <v>13</v>
      </c>
      <c r="I71" t="s">
        <v>10</v>
      </c>
      <c r="J71">
        <f t="shared" si="1"/>
        <v>218.91663891839715</v>
      </c>
    </row>
    <row r="72" spans="1:10" x14ac:dyDescent="0.25">
      <c r="A72" s="7">
        <v>71</v>
      </c>
      <c r="B72" s="49">
        <v>86</v>
      </c>
      <c r="C72" s="49">
        <v>531</v>
      </c>
      <c r="D72" s="49">
        <v>600.99999999999989</v>
      </c>
      <c r="E72" s="49">
        <v>1046</v>
      </c>
      <c r="F72" s="66">
        <v>110.20985233599583</v>
      </c>
      <c r="G72" s="66">
        <v>108.70678658240134</v>
      </c>
      <c r="H72" s="9" t="s">
        <v>13</v>
      </c>
      <c r="I72" t="s">
        <v>10</v>
      </c>
      <c r="J72">
        <f t="shared" si="1"/>
        <v>218.91663891839715</v>
      </c>
    </row>
    <row r="73" spans="1:10" x14ac:dyDescent="0.25">
      <c r="A73" s="7">
        <v>72</v>
      </c>
      <c r="B73" s="49">
        <v>101</v>
      </c>
      <c r="C73" s="49">
        <v>545.99999999999989</v>
      </c>
      <c r="D73" s="49">
        <v>615.99999999999989</v>
      </c>
      <c r="E73" s="49">
        <v>1066</v>
      </c>
      <c r="F73" s="66">
        <v>110.20985233599583</v>
      </c>
      <c r="G73" s="66">
        <v>108.70678658240134</v>
      </c>
      <c r="H73" s="9" t="s">
        <v>13</v>
      </c>
      <c r="I73" t="s">
        <v>10</v>
      </c>
      <c r="J73">
        <f t="shared" si="1"/>
        <v>218.91663891839715</v>
      </c>
    </row>
    <row r="74" spans="1:10" x14ac:dyDescent="0.25">
      <c r="A74" s="7">
        <v>73</v>
      </c>
      <c r="B74" s="49">
        <v>111</v>
      </c>
      <c r="C74" s="49">
        <v>555.99999999999989</v>
      </c>
      <c r="D74" s="49">
        <v>626</v>
      </c>
      <c r="E74" s="49">
        <v>1071</v>
      </c>
      <c r="F74" s="66">
        <v>110.20985233599583</v>
      </c>
      <c r="G74" s="66">
        <v>108.70678658240134</v>
      </c>
      <c r="H74" s="9" t="s">
        <v>13</v>
      </c>
      <c r="I74" t="s">
        <v>10</v>
      </c>
      <c r="J74">
        <f t="shared" si="1"/>
        <v>218.91663891839715</v>
      </c>
    </row>
    <row r="75" spans="1:10" x14ac:dyDescent="0.25">
      <c r="A75" s="7">
        <v>74</v>
      </c>
      <c r="B75" s="49">
        <v>126</v>
      </c>
      <c r="C75" s="49">
        <v>571</v>
      </c>
      <c r="D75" s="49">
        <v>640.99999999999989</v>
      </c>
      <c r="E75" s="49">
        <v>1086</v>
      </c>
      <c r="F75" s="66">
        <v>110.20985233599583</v>
      </c>
      <c r="G75" s="66">
        <v>108.70678658240134</v>
      </c>
      <c r="H75" s="9" t="s">
        <v>13</v>
      </c>
      <c r="I75" t="s">
        <v>10</v>
      </c>
      <c r="J75">
        <f t="shared" si="1"/>
        <v>218.91663891839715</v>
      </c>
    </row>
    <row r="76" spans="1:10" x14ac:dyDescent="0.25">
      <c r="A76" s="7">
        <v>75</v>
      </c>
      <c r="B76" s="49">
        <v>136</v>
      </c>
      <c r="C76" s="49">
        <v>581</v>
      </c>
      <c r="D76" s="49">
        <v>650.99999999999989</v>
      </c>
      <c r="E76" s="49">
        <v>1096</v>
      </c>
      <c r="F76" s="66">
        <v>110.20985233599583</v>
      </c>
      <c r="G76" s="66">
        <v>108.70678658240134</v>
      </c>
      <c r="H76" s="9" t="s">
        <v>13</v>
      </c>
      <c r="I76" t="s">
        <v>10</v>
      </c>
      <c r="J76">
        <f t="shared" si="1"/>
        <v>218.91663891839715</v>
      </c>
    </row>
    <row r="77" spans="1:10" x14ac:dyDescent="0.25">
      <c r="A77" s="7">
        <v>76</v>
      </c>
      <c r="B77" s="49">
        <v>151.00000000000006</v>
      </c>
      <c r="C77" s="49">
        <v>596.00000000000011</v>
      </c>
      <c r="D77" s="49">
        <v>666</v>
      </c>
      <c r="E77" s="49">
        <v>1111</v>
      </c>
      <c r="F77" s="66">
        <v>110.20985233599583</v>
      </c>
      <c r="G77" s="66">
        <v>108.70678658240134</v>
      </c>
      <c r="H77" s="9" t="s">
        <v>13</v>
      </c>
      <c r="I77" t="s">
        <v>10</v>
      </c>
      <c r="J77">
        <f t="shared" si="1"/>
        <v>218.91663891839715</v>
      </c>
    </row>
    <row r="78" spans="1:10" x14ac:dyDescent="0.25">
      <c r="A78" s="7">
        <v>77</v>
      </c>
      <c r="B78" s="49">
        <v>161</v>
      </c>
      <c r="C78" s="49">
        <v>606</v>
      </c>
      <c r="D78" s="49">
        <v>676</v>
      </c>
      <c r="E78" s="49">
        <v>1121.0000000000002</v>
      </c>
      <c r="F78" s="66">
        <v>110.20985233599583</v>
      </c>
      <c r="G78" s="66">
        <v>108.70678658240134</v>
      </c>
      <c r="H78" s="9" t="s">
        <v>13</v>
      </c>
      <c r="I78" t="s">
        <v>10</v>
      </c>
      <c r="J78">
        <f t="shared" si="1"/>
        <v>218.91663891839715</v>
      </c>
    </row>
    <row r="79" spans="1:10" x14ac:dyDescent="0.25">
      <c r="A79" s="7">
        <v>78</v>
      </c>
      <c r="B79" s="49">
        <v>175.99999999999994</v>
      </c>
      <c r="C79" s="49">
        <v>620.99999999999989</v>
      </c>
      <c r="D79" s="49">
        <v>690.99999999999989</v>
      </c>
      <c r="E79" s="49">
        <v>1136</v>
      </c>
      <c r="F79" s="66">
        <v>110.20985233599583</v>
      </c>
      <c r="G79" s="66">
        <v>108.70678658240134</v>
      </c>
      <c r="H79" s="9" t="s">
        <v>13</v>
      </c>
      <c r="I79" t="s">
        <v>10</v>
      </c>
      <c r="J79">
        <f t="shared" si="1"/>
        <v>218.91663891839715</v>
      </c>
    </row>
    <row r="80" spans="1:10" x14ac:dyDescent="0.25">
      <c r="A80" s="7">
        <v>79</v>
      </c>
      <c r="B80" s="49">
        <v>186</v>
      </c>
      <c r="C80" s="49">
        <v>631</v>
      </c>
      <c r="D80" s="49">
        <v>701</v>
      </c>
      <c r="E80" s="49">
        <v>1145.9999999999998</v>
      </c>
      <c r="F80" s="66">
        <v>110.20985233599583</v>
      </c>
      <c r="G80" s="66">
        <v>108.70678658240134</v>
      </c>
      <c r="H80" s="9" t="s">
        <v>13</v>
      </c>
      <c r="I80" t="s">
        <v>10</v>
      </c>
      <c r="J80">
        <f t="shared" si="1"/>
        <v>218.91663891839715</v>
      </c>
    </row>
    <row r="81" spans="1:10" x14ac:dyDescent="0.25">
      <c r="A81" s="7">
        <v>80</v>
      </c>
      <c r="B81" s="49">
        <v>201.00000000000006</v>
      </c>
      <c r="C81" s="49">
        <v>645.99999999999989</v>
      </c>
      <c r="D81" s="49">
        <v>716</v>
      </c>
      <c r="E81" s="49">
        <v>1161</v>
      </c>
      <c r="F81" s="66">
        <v>110.20985233599583</v>
      </c>
      <c r="G81" s="66">
        <v>108.70678658240134</v>
      </c>
      <c r="H81" s="9" t="s">
        <v>13</v>
      </c>
      <c r="I81" t="s">
        <v>10</v>
      </c>
      <c r="J81">
        <f t="shared" si="1"/>
        <v>218.91663891839715</v>
      </c>
    </row>
    <row r="82" spans="1:10" x14ac:dyDescent="0.25">
      <c r="A82" s="7">
        <v>81</v>
      </c>
      <c r="B82" s="49">
        <v>211</v>
      </c>
      <c r="C82" s="49">
        <v>651</v>
      </c>
      <c r="D82" s="49">
        <v>725.99999999999989</v>
      </c>
      <c r="E82" s="49">
        <v>1171</v>
      </c>
      <c r="F82" s="66">
        <v>110.20985233599583</v>
      </c>
      <c r="G82" s="66">
        <v>108.70678658240134</v>
      </c>
      <c r="H82" s="9" t="s">
        <v>13</v>
      </c>
      <c r="I82" t="s">
        <v>10</v>
      </c>
      <c r="J82">
        <f t="shared" si="1"/>
        <v>218.91663891839715</v>
      </c>
    </row>
    <row r="83" spans="1:10" x14ac:dyDescent="0.25">
      <c r="A83" s="7">
        <v>82</v>
      </c>
      <c r="B83" s="49">
        <v>226</v>
      </c>
      <c r="C83" s="49">
        <v>671</v>
      </c>
      <c r="D83" s="49">
        <v>740.99999999999989</v>
      </c>
      <c r="E83" s="49">
        <v>1186</v>
      </c>
      <c r="F83" s="66">
        <v>110.20985233599583</v>
      </c>
      <c r="G83" s="66">
        <v>108.70678658240134</v>
      </c>
      <c r="H83" s="9" t="s">
        <v>13</v>
      </c>
      <c r="I83" t="s">
        <v>10</v>
      </c>
      <c r="J83">
        <f t="shared" si="1"/>
        <v>218.91663891839715</v>
      </c>
    </row>
    <row r="84" spans="1:10" x14ac:dyDescent="0.25">
      <c r="A84" s="7">
        <v>83</v>
      </c>
      <c r="B84" s="49">
        <v>236</v>
      </c>
      <c r="C84" s="49">
        <v>680.99999999999989</v>
      </c>
      <c r="D84" s="49">
        <v>756</v>
      </c>
      <c r="E84" s="49">
        <v>1201</v>
      </c>
      <c r="F84" s="66">
        <v>110.20985233599583</v>
      </c>
      <c r="G84" s="66">
        <v>108.70678658240134</v>
      </c>
      <c r="H84" s="9" t="s">
        <v>13</v>
      </c>
      <c r="I84" t="s">
        <v>10</v>
      </c>
      <c r="J84">
        <f t="shared" si="1"/>
        <v>218.91663891839715</v>
      </c>
    </row>
    <row r="85" spans="1:10" x14ac:dyDescent="0.25">
      <c r="A85" s="7">
        <v>84</v>
      </c>
      <c r="B85" s="49">
        <v>251</v>
      </c>
      <c r="C85" s="49">
        <v>696</v>
      </c>
      <c r="D85" s="49">
        <v>766</v>
      </c>
      <c r="E85" s="49">
        <v>1211</v>
      </c>
      <c r="F85" s="66">
        <v>110.20985233599583</v>
      </c>
      <c r="G85" s="66">
        <v>108.70678658240134</v>
      </c>
      <c r="H85" s="9" t="s">
        <v>13</v>
      </c>
      <c r="I85" t="s">
        <v>10</v>
      </c>
      <c r="J85">
        <f t="shared" si="1"/>
        <v>218.91663891839715</v>
      </c>
    </row>
    <row r="86" spans="1:10" x14ac:dyDescent="0.25">
      <c r="A86" s="7">
        <v>85</v>
      </c>
      <c r="B86" s="49">
        <v>276</v>
      </c>
      <c r="C86" s="49">
        <v>721</v>
      </c>
      <c r="D86" s="49">
        <v>781</v>
      </c>
      <c r="E86" s="49">
        <v>1226</v>
      </c>
      <c r="F86" s="66">
        <v>110.20985233599583</v>
      </c>
      <c r="G86" s="66">
        <v>108.70678658240134</v>
      </c>
      <c r="H86" s="9" t="s">
        <v>13</v>
      </c>
      <c r="I86" t="s">
        <v>10</v>
      </c>
      <c r="J86">
        <f t="shared" si="1"/>
        <v>218.91663891839715</v>
      </c>
    </row>
    <row r="87" spans="1:10" x14ac:dyDescent="0.25">
      <c r="A87" s="28">
        <v>86</v>
      </c>
      <c r="B87" s="50">
        <v>41</v>
      </c>
      <c r="C87" s="50">
        <v>486</v>
      </c>
      <c r="D87" s="50">
        <v>550.99999999999989</v>
      </c>
      <c r="E87" s="50">
        <v>996</v>
      </c>
      <c r="F87" s="67">
        <v>103.88497942386834</v>
      </c>
      <c r="G87" s="67">
        <v>97.981818181818156</v>
      </c>
      <c r="H87" s="30" t="s">
        <v>14</v>
      </c>
      <c r="I87" t="s">
        <v>10</v>
      </c>
      <c r="J87">
        <f t="shared" si="1"/>
        <v>201.86679760568649</v>
      </c>
    </row>
    <row r="88" spans="1:10" x14ac:dyDescent="0.25">
      <c r="A88" s="28">
        <v>87</v>
      </c>
      <c r="B88" s="50">
        <v>121</v>
      </c>
      <c r="C88" s="50">
        <v>566</v>
      </c>
      <c r="D88" s="50">
        <v>631</v>
      </c>
      <c r="E88" s="50">
        <v>1076.0000000000002</v>
      </c>
      <c r="F88" s="67">
        <v>103.88497942386834</v>
      </c>
      <c r="G88" s="67">
        <v>97.981818181818156</v>
      </c>
      <c r="H88" s="30" t="s">
        <v>14</v>
      </c>
      <c r="I88" t="s">
        <v>10</v>
      </c>
      <c r="J88">
        <f t="shared" si="1"/>
        <v>201.86679760568649</v>
      </c>
    </row>
    <row r="89" spans="1:10" x14ac:dyDescent="0.25">
      <c r="A89" s="28">
        <v>88</v>
      </c>
      <c r="B89" s="50">
        <v>161</v>
      </c>
      <c r="C89" s="50">
        <v>606</v>
      </c>
      <c r="D89" s="50">
        <v>671</v>
      </c>
      <c r="E89" s="50">
        <v>1116</v>
      </c>
      <c r="F89" s="67">
        <v>103.88497942386834</v>
      </c>
      <c r="G89" s="67">
        <v>97.981818181818156</v>
      </c>
      <c r="H89" s="30" t="s">
        <v>14</v>
      </c>
      <c r="I89" t="s">
        <v>10</v>
      </c>
      <c r="J89">
        <f t="shared" si="1"/>
        <v>201.86679760568649</v>
      </c>
    </row>
    <row r="90" spans="1:10" x14ac:dyDescent="0.25">
      <c r="A90" s="28">
        <v>89</v>
      </c>
      <c r="B90" s="50">
        <v>201.00000000000006</v>
      </c>
      <c r="C90" s="50">
        <v>646</v>
      </c>
      <c r="D90" s="50">
        <v>711</v>
      </c>
      <c r="E90" s="50">
        <v>1156</v>
      </c>
      <c r="F90" s="67">
        <v>103.88497942386834</v>
      </c>
      <c r="G90" s="67">
        <v>97.981818181818156</v>
      </c>
      <c r="H90" s="30" t="s">
        <v>14</v>
      </c>
      <c r="I90" t="s">
        <v>10</v>
      </c>
      <c r="J90">
        <f t="shared" si="1"/>
        <v>201.86679760568649</v>
      </c>
    </row>
    <row r="91" spans="1:10" x14ac:dyDescent="0.25">
      <c r="A91" s="28">
        <v>90</v>
      </c>
      <c r="B91" s="50">
        <v>281.00000000000011</v>
      </c>
      <c r="C91" s="50">
        <v>726.00000000000011</v>
      </c>
      <c r="D91" s="50">
        <v>790.99999999999977</v>
      </c>
      <c r="E91" s="50">
        <v>1236</v>
      </c>
      <c r="F91" s="67">
        <v>103.88497942386834</v>
      </c>
      <c r="G91" s="67">
        <v>97.981818181818156</v>
      </c>
      <c r="H91" s="30" t="s">
        <v>14</v>
      </c>
      <c r="I91" t="s">
        <v>10</v>
      </c>
      <c r="J91">
        <f t="shared" si="1"/>
        <v>201.86679760568649</v>
      </c>
    </row>
    <row r="92" spans="1:10" x14ac:dyDescent="0.25">
      <c r="A92" s="31">
        <v>91</v>
      </c>
      <c r="B92" s="51">
        <v>81</v>
      </c>
      <c r="C92" s="51">
        <v>546.00000000000011</v>
      </c>
      <c r="D92" s="51">
        <v>615.99999999999989</v>
      </c>
      <c r="E92" s="51">
        <v>1081</v>
      </c>
      <c r="F92" s="68">
        <v>114.25521810699603</v>
      </c>
      <c r="G92" s="68">
        <v>104.90652892561992</v>
      </c>
      <c r="H92" s="33" t="s">
        <v>15</v>
      </c>
      <c r="I92" t="s">
        <v>10</v>
      </c>
      <c r="J92">
        <f t="shared" si="1"/>
        <v>219.16174703261595</v>
      </c>
    </row>
    <row r="93" spans="1:10" x14ac:dyDescent="0.25">
      <c r="A93" s="31">
        <v>92</v>
      </c>
      <c r="B93" s="51">
        <v>111</v>
      </c>
      <c r="C93" s="51">
        <v>571</v>
      </c>
      <c r="D93" s="51">
        <v>640.99999999999989</v>
      </c>
      <c r="E93" s="51">
        <v>1106</v>
      </c>
      <c r="F93" s="68">
        <v>114.25521810699603</v>
      </c>
      <c r="G93" s="68">
        <v>104.90652892561992</v>
      </c>
      <c r="H93" s="33" t="s">
        <v>15</v>
      </c>
      <c r="I93" t="s">
        <v>10</v>
      </c>
      <c r="J93">
        <f t="shared" si="1"/>
        <v>219.16174703261595</v>
      </c>
    </row>
    <row r="94" spans="1:10" x14ac:dyDescent="0.25">
      <c r="A94" s="31">
        <v>93</v>
      </c>
      <c r="B94" s="51">
        <v>141</v>
      </c>
      <c r="C94" s="51">
        <v>606</v>
      </c>
      <c r="D94" s="51">
        <v>676</v>
      </c>
      <c r="E94" s="51">
        <v>1141</v>
      </c>
      <c r="F94" s="68">
        <v>114.25521810699603</v>
      </c>
      <c r="G94" s="68">
        <v>104.90652892561992</v>
      </c>
      <c r="H94" s="33" t="s">
        <v>15</v>
      </c>
      <c r="I94" t="s">
        <v>10</v>
      </c>
      <c r="J94">
        <f t="shared" si="1"/>
        <v>219.16174703261595</v>
      </c>
    </row>
    <row r="95" spans="1:10" x14ac:dyDescent="0.25">
      <c r="A95" s="31">
        <v>94</v>
      </c>
      <c r="B95" s="51">
        <v>171</v>
      </c>
      <c r="C95" s="51">
        <v>636.00000000000011</v>
      </c>
      <c r="D95" s="51">
        <v>725.99999999999989</v>
      </c>
      <c r="E95" s="51">
        <v>1190.9999999999998</v>
      </c>
      <c r="F95" s="68">
        <v>114.25521810699603</v>
      </c>
      <c r="G95" s="68">
        <v>104.90652892561992</v>
      </c>
      <c r="H95" s="33" t="s">
        <v>15</v>
      </c>
      <c r="I95" t="s">
        <v>10</v>
      </c>
      <c r="J95">
        <f t="shared" si="1"/>
        <v>219.16174703261595</v>
      </c>
    </row>
    <row r="96" spans="1:10" x14ac:dyDescent="0.25">
      <c r="A96" s="31">
        <v>95</v>
      </c>
      <c r="B96" s="51">
        <v>201.00000000000006</v>
      </c>
      <c r="C96" s="51">
        <v>666</v>
      </c>
      <c r="D96" s="51">
        <v>735.99999999999989</v>
      </c>
      <c r="E96" s="51">
        <v>1201</v>
      </c>
      <c r="F96" s="68">
        <v>114.25521810699603</v>
      </c>
      <c r="G96" s="68">
        <v>104.90652892561992</v>
      </c>
      <c r="H96" s="33" t="s">
        <v>15</v>
      </c>
      <c r="I96" t="s">
        <v>10</v>
      </c>
      <c r="J96">
        <f t="shared" si="1"/>
        <v>219.16174703261595</v>
      </c>
    </row>
    <row r="97" spans="1:10" x14ac:dyDescent="0.25">
      <c r="A97" s="34">
        <v>96</v>
      </c>
      <c r="B97" s="52">
        <v>920.99999999999977</v>
      </c>
      <c r="C97" s="52">
        <v>1391</v>
      </c>
      <c r="D97" s="52">
        <v>0</v>
      </c>
      <c r="E97" s="52">
        <v>0</v>
      </c>
      <c r="F97" s="69">
        <v>125.38</v>
      </c>
      <c r="G97" s="69">
        <v>0</v>
      </c>
      <c r="H97" s="36" t="s">
        <v>16</v>
      </c>
      <c r="I97" t="s">
        <v>10</v>
      </c>
      <c r="J97">
        <f t="shared" si="1"/>
        <v>125.38</v>
      </c>
    </row>
    <row r="98" spans="1:10" x14ac:dyDescent="0.25">
      <c r="A98" s="37">
        <v>97</v>
      </c>
      <c r="B98" s="53">
        <v>1001</v>
      </c>
      <c r="C98" s="53">
        <v>31</v>
      </c>
      <c r="D98" s="53">
        <v>0</v>
      </c>
      <c r="E98" s="53">
        <v>0</v>
      </c>
      <c r="F98" s="70">
        <v>140.69999999999999</v>
      </c>
      <c r="G98" s="70">
        <v>0</v>
      </c>
      <c r="H98" s="39" t="s">
        <v>17</v>
      </c>
      <c r="I98" t="s">
        <v>10</v>
      </c>
      <c r="J98">
        <f t="shared" si="1"/>
        <v>140.69999999999999</v>
      </c>
    </row>
    <row r="99" spans="1:10" x14ac:dyDescent="0.25">
      <c r="A99" s="37">
        <v>98</v>
      </c>
      <c r="B99" s="53">
        <v>1061</v>
      </c>
      <c r="C99" s="53">
        <v>91</v>
      </c>
      <c r="D99" s="53">
        <v>0</v>
      </c>
      <c r="E99" s="53">
        <v>0</v>
      </c>
      <c r="F99" s="70">
        <v>140.69999999999999</v>
      </c>
      <c r="G99" s="70">
        <v>0</v>
      </c>
      <c r="H99" s="39" t="s">
        <v>17</v>
      </c>
      <c r="I99" t="s">
        <v>10</v>
      </c>
      <c r="J99">
        <f t="shared" si="1"/>
        <v>140.69999999999999</v>
      </c>
    </row>
    <row r="100" spans="1:10" x14ac:dyDescent="0.25">
      <c r="A100" s="37">
        <v>99</v>
      </c>
      <c r="B100" s="53">
        <v>1121.0000000000002</v>
      </c>
      <c r="C100" s="53">
        <v>151</v>
      </c>
      <c r="D100" s="53">
        <v>0</v>
      </c>
      <c r="E100" s="53">
        <v>0</v>
      </c>
      <c r="F100" s="70">
        <v>140.69999999999999</v>
      </c>
      <c r="G100" s="70">
        <v>0</v>
      </c>
      <c r="H100" s="39" t="s">
        <v>17</v>
      </c>
      <c r="I100" t="s">
        <v>10</v>
      </c>
      <c r="J100">
        <f t="shared" si="1"/>
        <v>140.69999999999999</v>
      </c>
    </row>
    <row r="101" spans="1:10" x14ac:dyDescent="0.25">
      <c r="A101" s="40">
        <v>100</v>
      </c>
      <c r="B101" s="54">
        <v>1051</v>
      </c>
      <c r="C101" s="54">
        <v>61</v>
      </c>
      <c r="D101" s="54">
        <v>0</v>
      </c>
      <c r="E101" s="54">
        <v>0</v>
      </c>
      <c r="F101" s="71">
        <v>131.80000000000001</v>
      </c>
      <c r="G101" s="71">
        <v>0</v>
      </c>
      <c r="H101" s="42" t="s">
        <v>18</v>
      </c>
      <c r="I101" t="s">
        <v>10</v>
      </c>
      <c r="J101">
        <f t="shared" si="1"/>
        <v>131.80000000000001</v>
      </c>
    </row>
    <row r="102" spans="1:10" x14ac:dyDescent="0.25">
      <c r="A102" s="40">
        <v>101</v>
      </c>
      <c r="B102" s="54">
        <v>1111</v>
      </c>
      <c r="C102" s="54">
        <v>121</v>
      </c>
      <c r="D102" s="54">
        <v>0</v>
      </c>
      <c r="E102" s="54">
        <v>0</v>
      </c>
      <c r="F102" s="71">
        <v>131.80000000000001</v>
      </c>
      <c r="G102" s="71">
        <v>0</v>
      </c>
      <c r="H102" s="42" t="s">
        <v>18</v>
      </c>
      <c r="I102" t="s">
        <v>10</v>
      </c>
      <c r="J102">
        <f t="shared" si="1"/>
        <v>131.80000000000001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T289"/>
  <sheetViews>
    <sheetView tabSelected="1" workbookViewId="0">
      <selection activeCell="N9" sqref="N9"/>
    </sheetView>
  </sheetViews>
  <sheetFormatPr defaultRowHeight="15" x14ac:dyDescent="0.25"/>
  <cols>
    <col min="3" max="3" width="13" customWidth="1"/>
    <col min="5" max="5" width="11.5703125" customWidth="1"/>
    <col min="6" max="6" width="14.85546875" customWidth="1"/>
    <col min="7" max="7" width="11.5703125" customWidth="1"/>
    <col min="8" max="8" width="12.140625" customWidth="1"/>
    <col min="11" max="11" width="15.7109375" bestFit="1" customWidth="1"/>
    <col min="12" max="12" width="9.140625" style="4"/>
    <col min="15" max="15" width="9.28515625" customWidth="1"/>
  </cols>
  <sheetData>
    <row r="1" spans="1:20" x14ac:dyDescent="0.25">
      <c r="A1" s="2"/>
      <c r="B1" s="3" t="s">
        <v>0</v>
      </c>
      <c r="C1" s="3" t="s">
        <v>1</v>
      </c>
      <c r="D1" s="3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t="s">
        <v>9</v>
      </c>
      <c r="L1" s="6" t="s">
        <v>19</v>
      </c>
      <c r="M1" s="5" t="s">
        <v>20</v>
      </c>
      <c r="N1" s="5" t="s">
        <v>21</v>
      </c>
      <c r="O1" s="5" t="s">
        <v>22</v>
      </c>
    </row>
    <row r="2" spans="1:20" x14ac:dyDescent="0.25">
      <c r="A2" s="10">
        <v>0</v>
      </c>
      <c r="B2" s="10">
        <v>1</v>
      </c>
      <c r="C2" s="11">
        <v>0.18263888888888888</v>
      </c>
      <c r="D2" s="11">
        <v>0.50138888888888888</v>
      </c>
      <c r="E2" s="11">
        <v>0.54374999999999996</v>
      </c>
      <c r="F2" s="11">
        <v>0.86249999999999993</v>
      </c>
      <c r="G2" s="10">
        <v>103.56454501452063</v>
      </c>
      <c r="H2" s="10">
        <v>83.120059865303276</v>
      </c>
      <c r="I2" s="12">
        <v>166</v>
      </c>
      <c r="J2" t="s">
        <v>10</v>
      </c>
      <c r="K2">
        <f>SUM(G2:H2)</f>
        <v>186.68460487982389</v>
      </c>
      <c r="L2" s="4">
        <f>CONVERT(C2,"day","mn")-239</f>
        <v>24</v>
      </c>
      <c r="M2" s="4">
        <f>CONVERT(D2,"day","mn")-239</f>
        <v>483</v>
      </c>
      <c r="N2" s="4">
        <f>CONVERT(E2,"day","mn")-239</f>
        <v>543.99999999999989</v>
      </c>
      <c r="O2" s="4">
        <f>CONVERT(F2,"day","mn")-239</f>
        <v>1003</v>
      </c>
      <c r="Q2" s="57">
        <v>0.16666666666666666</v>
      </c>
      <c r="R2">
        <v>1</v>
      </c>
      <c r="T2" s="57">
        <v>0</v>
      </c>
    </row>
    <row r="3" spans="1:20" x14ac:dyDescent="0.25">
      <c r="A3" s="10">
        <v>1</v>
      </c>
      <c r="B3" s="10">
        <v>2</v>
      </c>
      <c r="C3" s="11">
        <v>0.20208333333333334</v>
      </c>
      <c r="D3" s="11">
        <v>0.52083333333333326</v>
      </c>
      <c r="E3" s="11">
        <v>0.56319444444444444</v>
      </c>
      <c r="F3" s="11">
        <v>0.88194444444444453</v>
      </c>
      <c r="G3" s="10">
        <v>103.56454501452063</v>
      </c>
      <c r="H3" s="10">
        <v>83.120059865303276</v>
      </c>
      <c r="I3" s="12">
        <v>166</v>
      </c>
      <c r="J3" t="s">
        <v>10</v>
      </c>
      <c r="K3">
        <f t="shared" ref="K3:K66" si="0">SUM(G3:H3)</f>
        <v>186.68460487982389</v>
      </c>
      <c r="L3" s="4">
        <f t="shared" ref="L3:L66" si="1">CONVERT(C3,"day","mn")-239</f>
        <v>52</v>
      </c>
      <c r="M3" s="4">
        <f t="shared" ref="M3:M66" si="2">CONVERT(D3,"day","mn")-239</f>
        <v>510.99999999999989</v>
      </c>
      <c r="N3" s="4">
        <f t="shared" ref="N3:N66" si="3">CONVERT(E3,"day","mn")-239</f>
        <v>572</v>
      </c>
      <c r="O3" s="4">
        <f t="shared" ref="O3:O66" si="4">CONVERT(F3,"day","mn")-239</f>
        <v>1031.0000000000002</v>
      </c>
      <c r="Q3" s="57">
        <v>0.1673611111111111</v>
      </c>
      <c r="R3">
        <v>2</v>
      </c>
      <c r="T3" s="57">
        <v>3.472222222222222E-3</v>
      </c>
    </row>
    <row r="4" spans="1:20" x14ac:dyDescent="0.25">
      <c r="A4" s="10">
        <v>2</v>
      </c>
      <c r="B4" s="10">
        <v>3</v>
      </c>
      <c r="C4" s="11">
        <v>0.21111111111111111</v>
      </c>
      <c r="D4" s="11">
        <v>0.52986111111111112</v>
      </c>
      <c r="E4" s="11">
        <v>0.57222222222222219</v>
      </c>
      <c r="F4" s="11">
        <v>0.89097222222222217</v>
      </c>
      <c r="G4" s="10">
        <v>103.56454501452063</v>
      </c>
      <c r="H4" s="10">
        <v>83.120059865303276</v>
      </c>
      <c r="I4" s="12">
        <v>166</v>
      </c>
      <c r="J4" t="s">
        <v>10</v>
      </c>
      <c r="K4">
        <f t="shared" si="0"/>
        <v>186.68460487982389</v>
      </c>
      <c r="L4" s="4">
        <f t="shared" si="1"/>
        <v>65</v>
      </c>
      <c r="M4" s="4">
        <f t="shared" si="2"/>
        <v>524</v>
      </c>
      <c r="N4" s="4">
        <f t="shared" si="3"/>
        <v>585</v>
      </c>
      <c r="O4" s="4">
        <f t="shared" si="4"/>
        <v>1044</v>
      </c>
      <c r="Q4" s="57">
        <v>0.16805555555555601</v>
      </c>
      <c r="R4">
        <v>3</v>
      </c>
      <c r="T4" s="57">
        <v>6.9444444444444397E-3</v>
      </c>
    </row>
    <row r="5" spans="1:20" x14ac:dyDescent="0.25">
      <c r="A5" s="10">
        <v>3</v>
      </c>
      <c r="B5" s="10">
        <v>4</v>
      </c>
      <c r="C5" s="11">
        <v>0.22083333333333335</v>
      </c>
      <c r="D5" s="11">
        <v>0.54027777777777775</v>
      </c>
      <c r="E5" s="11">
        <v>0.58194444444444438</v>
      </c>
      <c r="F5" s="11">
        <v>0.90138888888888891</v>
      </c>
      <c r="G5" s="10">
        <v>103.56454501452063</v>
      </c>
      <c r="H5" s="10">
        <v>83.120059865303276</v>
      </c>
      <c r="I5" s="12">
        <v>166</v>
      </c>
      <c r="J5" t="s">
        <v>10</v>
      </c>
      <c r="K5">
        <f t="shared" si="0"/>
        <v>186.68460487982389</v>
      </c>
      <c r="L5" s="4">
        <f t="shared" si="1"/>
        <v>79</v>
      </c>
      <c r="M5" s="4">
        <f t="shared" si="2"/>
        <v>539</v>
      </c>
      <c r="N5" s="4">
        <f t="shared" si="3"/>
        <v>598.99999999999989</v>
      </c>
      <c r="O5" s="4">
        <f t="shared" si="4"/>
        <v>1059</v>
      </c>
      <c r="Q5" s="57">
        <v>0.16875000000000001</v>
      </c>
      <c r="R5">
        <v>4</v>
      </c>
      <c r="T5" s="57">
        <v>1.0416666666666701E-2</v>
      </c>
    </row>
    <row r="6" spans="1:20" ht="18.75" customHeight="1" x14ac:dyDescent="0.25">
      <c r="A6" s="10">
        <v>4</v>
      </c>
      <c r="B6" s="10">
        <v>5</v>
      </c>
      <c r="C6" s="11">
        <v>0.23194444444444445</v>
      </c>
      <c r="D6" s="11">
        <v>0.5493055555555556</v>
      </c>
      <c r="E6" s="11">
        <v>0.59166666666666667</v>
      </c>
      <c r="F6" s="11">
        <v>0.91041666666666676</v>
      </c>
      <c r="G6" s="10">
        <v>103.56454501452063</v>
      </c>
      <c r="H6" s="10">
        <v>83.120059865303276</v>
      </c>
      <c r="I6" s="12">
        <v>166</v>
      </c>
      <c r="J6" t="s">
        <v>10</v>
      </c>
      <c r="K6">
        <f t="shared" si="0"/>
        <v>186.68460487982389</v>
      </c>
      <c r="L6" s="4">
        <f t="shared" si="1"/>
        <v>95</v>
      </c>
      <c r="M6" s="4">
        <f t="shared" si="2"/>
        <v>552.00000000000011</v>
      </c>
      <c r="N6" s="4">
        <f t="shared" si="3"/>
        <v>613</v>
      </c>
      <c r="O6" s="4">
        <f t="shared" si="4"/>
        <v>1072.0000000000002</v>
      </c>
      <c r="Q6" s="57">
        <v>0.16944444444444401</v>
      </c>
      <c r="R6">
        <v>5</v>
      </c>
      <c r="T6" s="57">
        <v>1.38888888888889E-2</v>
      </c>
    </row>
    <row r="7" spans="1:20" x14ac:dyDescent="0.25">
      <c r="A7" s="10">
        <v>5</v>
      </c>
      <c r="B7" s="10">
        <v>6</v>
      </c>
      <c r="C7" s="11">
        <v>0.24027777777777778</v>
      </c>
      <c r="D7" s="11">
        <v>0.55972222222222223</v>
      </c>
      <c r="E7" s="11">
        <v>0.60138888888888886</v>
      </c>
      <c r="F7" s="11">
        <v>0.91666666666666663</v>
      </c>
      <c r="G7" s="10">
        <v>103.56454501452063</v>
      </c>
      <c r="H7" s="10">
        <v>83.120059865303276</v>
      </c>
      <c r="I7" s="12">
        <v>166</v>
      </c>
      <c r="J7" t="s">
        <v>10</v>
      </c>
      <c r="K7">
        <f t="shared" si="0"/>
        <v>186.68460487982389</v>
      </c>
      <c r="L7" s="4">
        <f t="shared" si="1"/>
        <v>107</v>
      </c>
      <c r="M7" s="4">
        <f t="shared" si="2"/>
        <v>567</v>
      </c>
      <c r="N7" s="4">
        <f t="shared" si="3"/>
        <v>627</v>
      </c>
      <c r="O7" s="4">
        <f t="shared" si="4"/>
        <v>1081</v>
      </c>
      <c r="Q7" s="57">
        <v>0.17013888888888901</v>
      </c>
      <c r="R7">
        <v>6</v>
      </c>
      <c r="T7" s="57">
        <v>1.7361111111111101E-2</v>
      </c>
    </row>
    <row r="8" spans="1:20" x14ac:dyDescent="0.25">
      <c r="A8" s="10">
        <v>6</v>
      </c>
      <c r="B8" s="10">
        <v>7</v>
      </c>
      <c r="C8" s="11">
        <v>0.25</v>
      </c>
      <c r="D8" s="11">
        <v>0.56736111111111109</v>
      </c>
      <c r="E8" s="11">
        <v>0.61111111111111105</v>
      </c>
      <c r="F8" s="11">
        <v>0.92986111111111114</v>
      </c>
      <c r="G8" s="10">
        <v>103.56454501452063</v>
      </c>
      <c r="H8" s="10">
        <v>83.120059865303276</v>
      </c>
      <c r="I8" s="12">
        <v>166</v>
      </c>
      <c r="J8" t="s">
        <v>10</v>
      </c>
      <c r="K8">
        <f t="shared" si="0"/>
        <v>186.68460487982389</v>
      </c>
      <c r="L8" s="4">
        <f t="shared" si="1"/>
        <v>121</v>
      </c>
      <c r="M8" s="4">
        <f t="shared" si="2"/>
        <v>578</v>
      </c>
      <c r="N8" s="4">
        <f t="shared" si="3"/>
        <v>640.99999999999989</v>
      </c>
      <c r="O8" s="4">
        <f t="shared" si="4"/>
        <v>1100</v>
      </c>
      <c r="Q8" s="57">
        <v>0.170833333333333</v>
      </c>
      <c r="R8">
        <v>7</v>
      </c>
      <c r="T8" s="57">
        <v>2.0833333333333301E-2</v>
      </c>
    </row>
    <row r="9" spans="1:20" x14ac:dyDescent="0.25">
      <c r="A9" s="10">
        <v>7</v>
      </c>
      <c r="B9" s="10">
        <v>8</v>
      </c>
      <c r="C9" s="11">
        <v>0.25972222222222224</v>
      </c>
      <c r="D9" s="11">
        <v>0.57916666666666672</v>
      </c>
      <c r="E9" s="11">
        <v>0.62083333333333324</v>
      </c>
      <c r="F9" s="11">
        <v>0.94027777777777777</v>
      </c>
      <c r="G9" s="10">
        <v>103.56454501452063</v>
      </c>
      <c r="H9" s="10">
        <v>83.120059865303276</v>
      </c>
      <c r="I9" s="12">
        <v>166</v>
      </c>
      <c r="J9" t="s">
        <v>10</v>
      </c>
      <c r="K9">
        <f t="shared" si="0"/>
        <v>186.68460487982389</v>
      </c>
      <c r="L9" s="4">
        <f t="shared" si="1"/>
        <v>135</v>
      </c>
      <c r="M9" s="4">
        <f t="shared" si="2"/>
        <v>595.00000000000011</v>
      </c>
      <c r="N9" s="4">
        <f t="shared" si="3"/>
        <v>654.99999999999989</v>
      </c>
      <c r="O9" s="4">
        <f t="shared" si="4"/>
        <v>1115</v>
      </c>
      <c r="Q9" s="57">
        <v>0.171527777777778</v>
      </c>
      <c r="R9">
        <v>8</v>
      </c>
      <c r="T9" s="57">
        <v>2.4305555555555601E-2</v>
      </c>
    </row>
    <row r="10" spans="1:20" x14ac:dyDescent="0.25">
      <c r="A10" s="10">
        <v>8</v>
      </c>
      <c r="B10" s="10">
        <v>9</v>
      </c>
      <c r="C10" s="11">
        <v>0.26944444444444449</v>
      </c>
      <c r="D10" s="11">
        <v>0.58819444444444446</v>
      </c>
      <c r="E10" s="11">
        <v>0.64027777777777772</v>
      </c>
      <c r="F10" s="11">
        <v>0.95972222222222225</v>
      </c>
      <c r="G10" s="10">
        <v>103.56454501452063</v>
      </c>
      <c r="H10" s="10">
        <v>83.120059865303276</v>
      </c>
      <c r="I10" s="12">
        <v>166</v>
      </c>
      <c r="J10" t="s">
        <v>10</v>
      </c>
      <c r="K10">
        <f t="shared" si="0"/>
        <v>186.68460487982389</v>
      </c>
      <c r="L10" s="4">
        <f t="shared" si="1"/>
        <v>149.00000000000006</v>
      </c>
      <c r="M10" s="4">
        <f t="shared" si="2"/>
        <v>608</v>
      </c>
      <c r="N10" s="4">
        <f t="shared" si="3"/>
        <v>682.99999999999989</v>
      </c>
      <c r="O10" s="4">
        <f t="shared" si="4"/>
        <v>1143</v>
      </c>
      <c r="Q10" s="57">
        <v>0.172222222222222</v>
      </c>
      <c r="R10">
        <v>9</v>
      </c>
      <c r="T10" s="57">
        <v>2.7777777777777801E-2</v>
      </c>
    </row>
    <row r="11" spans="1:20" x14ac:dyDescent="0.25">
      <c r="A11" s="10">
        <v>9</v>
      </c>
      <c r="B11" s="10">
        <v>10</v>
      </c>
      <c r="C11" s="11">
        <v>0.27916666666666667</v>
      </c>
      <c r="D11" s="11">
        <v>0.61249999999999993</v>
      </c>
      <c r="E11" s="11">
        <v>0.65972222222222221</v>
      </c>
      <c r="F11" s="11">
        <v>0.97916666666666663</v>
      </c>
      <c r="G11" s="10">
        <v>103.56454501452063</v>
      </c>
      <c r="H11" s="10">
        <v>83.120059865303276</v>
      </c>
      <c r="I11" s="12">
        <v>166</v>
      </c>
      <c r="J11" t="s">
        <v>10</v>
      </c>
      <c r="K11">
        <f t="shared" si="0"/>
        <v>186.68460487982389</v>
      </c>
      <c r="L11" s="4">
        <f t="shared" si="1"/>
        <v>163</v>
      </c>
      <c r="M11" s="4">
        <f t="shared" si="2"/>
        <v>642.99999999999989</v>
      </c>
      <c r="N11" s="4">
        <f t="shared" si="3"/>
        <v>711</v>
      </c>
      <c r="O11" s="4">
        <f t="shared" si="4"/>
        <v>1171</v>
      </c>
      <c r="Q11" s="57">
        <v>0.172916666666667</v>
      </c>
      <c r="R11">
        <v>10</v>
      </c>
      <c r="T11" s="57">
        <v>3.125E-2</v>
      </c>
    </row>
    <row r="12" spans="1:20" x14ac:dyDescent="0.25">
      <c r="A12" s="10">
        <v>10</v>
      </c>
      <c r="B12" s="10">
        <v>11</v>
      </c>
      <c r="C12" s="11">
        <v>0.28888888888888886</v>
      </c>
      <c r="D12" s="11">
        <v>0.60763888888888884</v>
      </c>
      <c r="E12" s="11">
        <v>0.6694444444444444</v>
      </c>
      <c r="F12" s="11">
        <v>0.98819444444444449</v>
      </c>
      <c r="G12" s="10">
        <v>103.56454501452063</v>
      </c>
      <c r="H12" s="10">
        <v>83.120059865303276</v>
      </c>
      <c r="I12" s="12">
        <v>166</v>
      </c>
      <c r="J12" t="s">
        <v>10</v>
      </c>
      <c r="K12">
        <f t="shared" si="0"/>
        <v>186.68460487982389</v>
      </c>
      <c r="L12" s="4">
        <f t="shared" si="1"/>
        <v>176.99999999999994</v>
      </c>
      <c r="M12" s="4">
        <f t="shared" si="2"/>
        <v>635.99999999999989</v>
      </c>
      <c r="N12" s="4">
        <f t="shared" si="3"/>
        <v>724.99999999999989</v>
      </c>
      <c r="O12" s="4">
        <f t="shared" si="4"/>
        <v>1184</v>
      </c>
      <c r="Q12" s="57">
        <v>0.17361111111111099</v>
      </c>
      <c r="R12">
        <v>11</v>
      </c>
      <c r="T12" s="57">
        <v>3.4722222222222203E-2</v>
      </c>
    </row>
    <row r="13" spans="1:20" x14ac:dyDescent="0.25">
      <c r="A13" s="10">
        <v>11</v>
      </c>
      <c r="B13" s="10">
        <v>12</v>
      </c>
      <c r="C13" s="11">
        <v>0.2986111111111111</v>
      </c>
      <c r="D13" s="11">
        <v>0.61805555555555558</v>
      </c>
      <c r="E13" s="11">
        <v>0.67916666666666659</v>
      </c>
      <c r="F13" s="11">
        <v>0.99861111111111112</v>
      </c>
      <c r="G13" s="10">
        <v>103.56454501452063</v>
      </c>
      <c r="H13" s="10">
        <v>83.120059865303276</v>
      </c>
      <c r="I13" s="12">
        <v>166</v>
      </c>
      <c r="J13" t="s">
        <v>10</v>
      </c>
      <c r="K13">
        <f t="shared" si="0"/>
        <v>186.68460487982389</v>
      </c>
      <c r="L13" s="4">
        <f t="shared" si="1"/>
        <v>191</v>
      </c>
      <c r="M13" s="4">
        <f t="shared" si="2"/>
        <v>651</v>
      </c>
      <c r="N13" s="4">
        <f t="shared" si="3"/>
        <v>738.99999999999989</v>
      </c>
      <c r="O13" s="4">
        <f t="shared" si="4"/>
        <v>1199</v>
      </c>
      <c r="Q13" s="57">
        <v>0.17430555555555599</v>
      </c>
      <c r="R13">
        <v>12</v>
      </c>
      <c r="T13" s="57">
        <v>3.8194444444444399E-2</v>
      </c>
    </row>
    <row r="14" spans="1:20" x14ac:dyDescent="0.25">
      <c r="A14" s="10">
        <v>12</v>
      </c>
      <c r="B14" s="10">
        <v>13</v>
      </c>
      <c r="C14" s="11">
        <v>0.30833333333333335</v>
      </c>
      <c r="D14" s="11">
        <v>0.62708333333333333</v>
      </c>
      <c r="E14" s="11">
        <v>0.69097222222222221</v>
      </c>
      <c r="F14" s="11">
        <v>9.7222222222222224E-3</v>
      </c>
      <c r="G14" s="10">
        <v>103.56454501452063</v>
      </c>
      <c r="H14" s="10">
        <v>83.120059865303276</v>
      </c>
      <c r="I14" s="12">
        <v>166</v>
      </c>
      <c r="J14" t="s">
        <v>10</v>
      </c>
      <c r="K14">
        <f t="shared" si="0"/>
        <v>186.68460487982389</v>
      </c>
      <c r="L14" s="4">
        <f t="shared" si="1"/>
        <v>205</v>
      </c>
      <c r="M14" s="4">
        <f t="shared" si="2"/>
        <v>664</v>
      </c>
      <c r="N14" s="4">
        <f t="shared" si="3"/>
        <v>756</v>
      </c>
      <c r="O14" s="4">
        <f>1440+CONVERT(F14,"day","mn")-239</f>
        <v>1215</v>
      </c>
      <c r="Q14" s="57">
        <v>0.17499999999999999</v>
      </c>
      <c r="R14">
        <v>13</v>
      </c>
      <c r="T14" s="57">
        <v>4.1666666666666699E-2</v>
      </c>
    </row>
    <row r="15" spans="1:20" x14ac:dyDescent="0.25">
      <c r="A15" s="10">
        <v>13</v>
      </c>
      <c r="B15" s="10">
        <v>14</v>
      </c>
      <c r="C15" s="11">
        <v>0.31805555555555554</v>
      </c>
      <c r="D15" s="11">
        <v>0.63750000000000007</v>
      </c>
      <c r="E15" s="11">
        <v>0.69861111111111107</v>
      </c>
      <c r="F15" s="11">
        <v>1.8055555555555554E-2</v>
      </c>
      <c r="G15" s="10">
        <v>103.56454501452063</v>
      </c>
      <c r="H15" s="10">
        <v>83.120059865303276</v>
      </c>
      <c r="I15" s="12">
        <v>166</v>
      </c>
      <c r="J15" t="s">
        <v>10</v>
      </c>
      <c r="K15">
        <f t="shared" si="0"/>
        <v>186.68460487982389</v>
      </c>
      <c r="L15" s="4">
        <f t="shared" si="1"/>
        <v>219</v>
      </c>
      <c r="M15" s="4">
        <f t="shared" si="2"/>
        <v>679.00000000000011</v>
      </c>
      <c r="N15" s="4">
        <f t="shared" si="3"/>
        <v>767</v>
      </c>
      <c r="O15" s="4">
        <f t="shared" ref="O15:O16" si="5">1440+CONVERT(F15,"day","mn")-239</f>
        <v>1227</v>
      </c>
      <c r="Q15" s="57">
        <v>0.17569444444444399</v>
      </c>
      <c r="R15">
        <v>14</v>
      </c>
      <c r="T15" s="57">
        <v>4.5138888888888902E-2</v>
      </c>
    </row>
    <row r="16" spans="1:20" x14ac:dyDescent="0.25">
      <c r="A16" s="10">
        <v>14</v>
      </c>
      <c r="B16" s="10">
        <v>15</v>
      </c>
      <c r="C16" s="11">
        <v>0.33055555555555555</v>
      </c>
      <c r="D16" s="11">
        <v>0.64236111111111105</v>
      </c>
      <c r="E16" s="11">
        <v>0.71875</v>
      </c>
      <c r="F16" s="11">
        <v>3.888888888888889E-2</v>
      </c>
      <c r="G16" s="10">
        <v>103.56454501452063</v>
      </c>
      <c r="H16" s="10">
        <v>83.120059865303276</v>
      </c>
      <c r="I16" s="12">
        <v>166</v>
      </c>
      <c r="J16" t="s">
        <v>10</v>
      </c>
      <c r="K16">
        <f t="shared" si="0"/>
        <v>186.68460487982389</v>
      </c>
      <c r="L16" s="4">
        <f t="shared" si="1"/>
        <v>237</v>
      </c>
      <c r="M16" s="4">
        <f t="shared" si="2"/>
        <v>685.99999999999989</v>
      </c>
      <c r="N16" s="4">
        <f t="shared" si="3"/>
        <v>796</v>
      </c>
      <c r="O16" s="4">
        <f t="shared" si="5"/>
        <v>1257</v>
      </c>
      <c r="Q16" s="57">
        <v>0.17638888888888901</v>
      </c>
      <c r="R16">
        <v>15</v>
      </c>
      <c r="T16" s="57">
        <v>4.8611111111111098E-2</v>
      </c>
    </row>
    <row r="17" spans="1:20" x14ac:dyDescent="0.25">
      <c r="A17" s="10">
        <v>15</v>
      </c>
      <c r="B17" s="10">
        <v>16</v>
      </c>
      <c r="C17" s="11">
        <v>0.33750000000000002</v>
      </c>
      <c r="D17" s="11">
        <v>0.65694444444444444</v>
      </c>
      <c r="E17" s="11"/>
      <c r="F17" s="11"/>
      <c r="G17" s="10">
        <v>103.56454501452063</v>
      </c>
      <c r="H17" s="10">
        <v>0</v>
      </c>
      <c r="I17" s="12">
        <v>166</v>
      </c>
      <c r="J17" t="s">
        <v>10</v>
      </c>
      <c r="K17">
        <f t="shared" si="0"/>
        <v>103.56454501452063</v>
      </c>
      <c r="L17" s="4">
        <f t="shared" si="1"/>
        <v>247.00000000000006</v>
      </c>
      <c r="M17" s="4">
        <f t="shared" si="2"/>
        <v>707</v>
      </c>
      <c r="N17" s="4">
        <v>0</v>
      </c>
      <c r="O17" s="4">
        <v>0</v>
      </c>
      <c r="Q17" s="57">
        <v>0.17708333333333301</v>
      </c>
      <c r="R17">
        <v>16</v>
      </c>
      <c r="T17" s="57">
        <v>5.2083333333333301E-2</v>
      </c>
    </row>
    <row r="18" spans="1:20" x14ac:dyDescent="0.25">
      <c r="A18" s="10">
        <v>16</v>
      </c>
      <c r="B18" s="10">
        <v>17</v>
      </c>
      <c r="C18" s="11">
        <v>0.3569444444444444</v>
      </c>
      <c r="D18" s="11">
        <v>0.67638888888888893</v>
      </c>
      <c r="E18" s="11"/>
      <c r="F18" s="11"/>
      <c r="G18" s="10">
        <v>103.56454501452063</v>
      </c>
      <c r="H18" s="10">
        <v>0</v>
      </c>
      <c r="I18" s="12">
        <v>166</v>
      </c>
      <c r="J18" t="s">
        <v>10</v>
      </c>
      <c r="K18">
        <f t="shared" si="0"/>
        <v>103.56454501452063</v>
      </c>
      <c r="L18" s="4">
        <f t="shared" si="1"/>
        <v>274.99999999999989</v>
      </c>
      <c r="M18" s="4">
        <f t="shared" si="2"/>
        <v>735</v>
      </c>
      <c r="N18" s="4">
        <v>0</v>
      </c>
      <c r="O18" s="4">
        <v>0</v>
      </c>
      <c r="Q18" s="57">
        <v>0.17777777777777801</v>
      </c>
      <c r="R18">
        <v>17</v>
      </c>
      <c r="T18" s="57">
        <v>5.5555555555555601E-2</v>
      </c>
    </row>
    <row r="19" spans="1:20" x14ac:dyDescent="0.25">
      <c r="A19" s="13">
        <v>17</v>
      </c>
      <c r="B19" s="13">
        <v>18</v>
      </c>
      <c r="C19" s="14">
        <v>0.22222222222222221</v>
      </c>
      <c r="D19" s="14">
        <v>0.53125</v>
      </c>
      <c r="E19" s="14">
        <v>0.57291666666666663</v>
      </c>
      <c r="F19" s="14">
        <v>0.88194444444444453</v>
      </c>
      <c r="G19" s="13">
        <v>97.608770576131477</v>
      </c>
      <c r="H19" s="13">
        <v>78.929543039319853</v>
      </c>
      <c r="I19" s="15">
        <v>183</v>
      </c>
      <c r="J19" t="s">
        <v>10</v>
      </c>
      <c r="K19">
        <f t="shared" si="0"/>
        <v>176.53831361545133</v>
      </c>
      <c r="L19" s="4">
        <f t="shared" si="1"/>
        <v>81</v>
      </c>
      <c r="M19" s="4">
        <f t="shared" si="2"/>
        <v>526</v>
      </c>
      <c r="N19" s="4">
        <f t="shared" si="3"/>
        <v>586</v>
      </c>
      <c r="O19" s="4">
        <f t="shared" si="4"/>
        <v>1031.0000000000002</v>
      </c>
      <c r="Q19" s="57">
        <v>0.178472222222222</v>
      </c>
      <c r="R19">
        <v>18</v>
      </c>
      <c r="S19" s="58">
        <f>CONVERT(Q19,"day","mn")-239</f>
        <v>17.999999999999716</v>
      </c>
      <c r="T19" s="57">
        <v>5.9027777777777797E-2</v>
      </c>
    </row>
    <row r="20" spans="1:20" x14ac:dyDescent="0.25">
      <c r="A20" s="13">
        <v>18</v>
      </c>
      <c r="B20" s="13">
        <v>19</v>
      </c>
      <c r="C20" s="14">
        <v>0.24305555555555555</v>
      </c>
      <c r="D20" s="14">
        <v>0.55208333333333337</v>
      </c>
      <c r="E20" s="14">
        <v>0.59375</v>
      </c>
      <c r="F20" s="14">
        <v>0.90277777777777779</v>
      </c>
      <c r="G20" s="13">
        <v>97.608770576131477</v>
      </c>
      <c r="H20" s="13">
        <v>78.929543039319853</v>
      </c>
      <c r="I20" s="15">
        <v>183</v>
      </c>
      <c r="J20" t="s">
        <v>10</v>
      </c>
      <c r="K20">
        <f t="shared" si="0"/>
        <v>176.53831361545133</v>
      </c>
      <c r="L20" s="4">
        <f t="shared" si="1"/>
        <v>111</v>
      </c>
      <c r="M20" s="4">
        <f t="shared" si="2"/>
        <v>556</v>
      </c>
      <c r="N20" s="4">
        <f t="shared" si="3"/>
        <v>616</v>
      </c>
      <c r="O20" s="4">
        <f t="shared" si="4"/>
        <v>1061</v>
      </c>
      <c r="Q20" s="57">
        <v>0.22916666666666699</v>
      </c>
      <c r="R20">
        <v>19</v>
      </c>
      <c r="T20" s="57">
        <v>6.25E-2</v>
      </c>
    </row>
    <row r="21" spans="1:20" x14ac:dyDescent="0.25">
      <c r="A21" s="13">
        <v>19</v>
      </c>
      <c r="B21" s="13">
        <v>20</v>
      </c>
      <c r="C21" s="14">
        <v>0.2673611111111111</v>
      </c>
      <c r="D21" s="14">
        <v>0.57638888888888895</v>
      </c>
      <c r="E21" s="14">
        <v>0.61805555555555558</v>
      </c>
      <c r="F21" s="14">
        <v>0.92708333333333337</v>
      </c>
      <c r="G21" s="13">
        <v>97.608770576131477</v>
      </c>
      <c r="H21" s="13">
        <v>78.929543039319853</v>
      </c>
      <c r="I21" s="15">
        <v>183</v>
      </c>
      <c r="J21" t="s">
        <v>10</v>
      </c>
      <c r="K21">
        <f t="shared" si="0"/>
        <v>176.53831361545133</v>
      </c>
      <c r="L21" s="4">
        <f t="shared" si="1"/>
        <v>146</v>
      </c>
      <c r="M21" s="4">
        <f t="shared" si="2"/>
        <v>591.00000000000011</v>
      </c>
      <c r="N21" s="4">
        <f t="shared" si="3"/>
        <v>651</v>
      </c>
      <c r="O21" s="4">
        <f t="shared" si="4"/>
        <v>1096</v>
      </c>
      <c r="Q21" s="57">
        <v>0.23263888888888901</v>
      </c>
      <c r="R21">
        <v>20</v>
      </c>
      <c r="T21" s="57">
        <v>6.5972222222222196E-2</v>
      </c>
    </row>
    <row r="22" spans="1:20" x14ac:dyDescent="0.25">
      <c r="A22" s="13">
        <v>20</v>
      </c>
      <c r="B22" s="13">
        <v>21</v>
      </c>
      <c r="C22" s="14">
        <v>0.29166666666666669</v>
      </c>
      <c r="D22" s="14">
        <v>0.60069444444444442</v>
      </c>
      <c r="E22" s="14">
        <v>0.64236111111111105</v>
      </c>
      <c r="F22" s="14">
        <v>0.95138888888888884</v>
      </c>
      <c r="G22" s="13">
        <v>97.608770576131477</v>
      </c>
      <c r="H22" s="13">
        <v>78.929543039319853</v>
      </c>
      <c r="I22" s="15">
        <v>183</v>
      </c>
      <c r="J22" t="s">
        <v>10</v>
      </c>
      <c r="K22">
        <f t="shared" si="0"/>
        <v>176.53831361545133</v>
      </c>
      <c r="L22" s="4">
        <f t="shared" si="1"/>
        <v>181</v>
      </c>
      <c r="M22" s="4">
        <f t="shared" si="2"/>
        <v>626</v>
      </c>
      <c r="N22" s="4">
        <f t="shared" si="3"/>
        <v>685.99999999999989</v>
      </c>
      <c r="O22" s="4">
        <f t="shared" si="4"/>
        <v>1131</v>
      </c>
      <c r="Q22" s="57">
        <v>0.23611111111111099</v>
      </c>
      <c r="R22">
        <v>21</v>
      </c>
      <c r="T22" s="57">
        <v>6.9444444444444406E-2</v>
      </c>
    </row>
    <row r="23" spans="1:20" x14ac:dyDescent="0.25">
      <c r="A23" s="13">
        <v>21</v>
      </c>
      <c r="B23" s="13">
        <v>22</v>
      </c>
      <c r="C23" s="14">
        <v>0.2986111111111111</v>
      </c>
      <c r="D23" s="14">
        <v>0.60763888888888895</v>
      </c>
      <c r="E23" s="14">
        <v>0.64930555555555558</v>
      </c>
      <c r="F23" s="14">
        <v>0.95833333333333337</v>
      </c>
      <c r="G23" s="13">
        <v>97.608770576131477</v>
      </c>
      <c r="H23" s="13">
        <v>78.929543039319853</v>
      </c>
      <c r="I23" s="15">
        <v>183</v>
      </c>
      <c r="J23" t="s">
        <v>10</v>
      </c>
      <c r="K23">
        <f t="shared" si="0"/>
        <v>176.53831361545133</v>
      </c>
      <c r="L23" s="4">
        <f t="shared" si="1"/>
        <v>191</v>
      </c>
      <c r="M23" s="4">
        <f t="shared" si="2"/>
        <v>636.00000000000011</v>
      </c>
      <c r="N23" s="4">
        <f t="shared" si="3"/>
        <v>696</v>
      </c>
      <c r="O23" s="4">
        <f t="shared" si="4"/>
        <v>1141</v>
      </c>
      <c r="Q23" s="57">
        <v>0.23958333333333401</v>
      </c>
      <c r="R23">
        <v>22</v>
      </c>
      <c r="T23" s="57">
        <v>7.2916666666666699E-2</v>
      </c>
    </row>
    <row r="24" spans="1:20" x14ac:dyDescent="0.25">
      <c r="A24" s="13">
        <v>22</v>
      </c>
      <c r="B24" s="13">
        <v>23</v>
      </c>
      <c r="C24" s="14">
        <v>0.31597222222222221</v>
      </c>
      <c r="D24" s="14">
        <v>0.625</v>
      </c>
      <c r="E24" s="14">
        <v>0.6875</v>
      </c>
      <c r="F24" s="14">
        <v>0.99652777777777779</v>
      </c>
      <c r="G24" s="13">
        <v>97.608770576131477</v>
      </c>
      <c r="H24" s="13">
        <v>78.929543039319853</v>
      </c>
      <c r="I24" s="15">
        <v>183</v>
      </c>
      <c r="J24" t="s">
        <v>10</v>
      </c>
      <c r="K24">
        <f t="shared" si="0"/>
        <v>176.53831361545133</v>
      </c>
      <c r="L24" s="4">
        <f t="shared" si="1"/>
        <v>216</v>
      </c>
      <c r="M24" s="4">
        <f t="shared" si="2"/>
        <v>661</v>
      </c>
      <c r="N24" s="4">
        <f t="shared" si="3"/>
        <v>751</v>
      </c>
      <c r="O24" s="4">
        <f t="shared" si="4"/>
        <v>1196</v>
      </c>
      <c r="Q24" s="57">
        <v>0.243055555555556</v>
      </c>
      <c r="R24">
        <v>23</v>
      </c>
      <c r="T24" s="57">
        <v>7.6388888888888895E-2</v>
      </c>
    </row>
    <row r="25" spans="1:20" x14ac:dyDescent="0.25">
      <c r="A25" s="13">
        <v>23</v>
      </c>
      <c r="B25" s="13">
        <v>24</v>
      </c>
      <c r="C25" s="14">
        <v>0.33680555555555558</v>
      </c>
      <c r="D25" s="14">
        <v>0.64583333333333337</v>
      </c>
      <c r="E25" s="14">
        <v>0.69444444444444453</v>
      </c>
      <c r="F25" s="14">
        <v>3.472222222222222E-3</v>
      </c>
      <c r="G25" s="13">
        <v>97.608770576131477</v>
      </c>
      <c r="H25" s="13">
        <v>78.929543039319853</v>
      </c>
      <c r="I25" s="15">
        <v>183</v>
      </c>
      <c r="J25" t="s">
        <v>10</v>
      </c>
      <c r="K25">
        <f t="shared" si="0"/>
        <v>176.53831361545133</v>
      </c>
      <c r="L25" s="4">
        <f t="shared" si="1"/>
        <v>246.00000000000006</v>
      </c>
      <c r="M25" s="4">
        <f t="shared" si="2"/>
        <v>691</v>
      </c>
      <c r="N25" s="4">
        <f t="shared" si="3"/>
        <v>761.00000000000011</v>
      </c>
      <c r="O25" s="4">
        <f>1440+CONVERT(F25,"day","mn")-239</f>
        <v>1206</v>
      </c>
      <c r="Q25" s="57">
        <v>0.24652777777777801</v>
      </c>
      <c r="R25">
        <v>24</v>
      </c>
      <c r="T25" s="57">
        <v>7.9861111111111105E-2</v>
      </c>
    </row>
    <row r="26" spans="1:20" x14ac:dyDescent="0.25">
      <c r="A26" s="13">
        <v>24</v>
      </c>
      <c r="B26" s="13">
        <v>25</v>
      </c>
      <c r="C26" s="14">
        <v>0.34722222222222227</v>
      </c>
      <c r="D26" s="14">
        <v>0.65277777777777779</v>
      </c>
      <c r="E26" s="14"/>
      <c r="F26" s="14"/>
      <c r="G26" s="13">
        <v>97.608770576131477</v>
      </c>
      <c r="H26" s="13">
        <v>0</v>
      </c>
      <c r="I26" s="15">
        <v>183</v>
      </c>
      <c r="J26" t="s">
        <v>10</v>
      </c>
      <c r="K26">
        <f t="shared" si="0"/>
        <v>97.608770576131477</v>
      </c>
      <c r="L26" s="4">
        <f t="shared" si="1"/>
        <v>261.00000000000006</v>
      </c>
      <c r="M26" s="4">
        <f t="shared" si="2"/>
        <v>701</v>
      </c>
      <c r="N26" s="4">
        <v>0</v>
      </c>
      <c r="O26" s="4">
        <v>0</v>
      </c>
      <c r="Q26" s="57">
        <v>0.25</v>
      </c>
      <c r="R26">
        <v>25</v>
      </c>
      <c r="T26" s="57">
        <v>8.3333333333333301E-2</v>
      </c>
    </row>
    <row r="27" spans="1:20" x14ac:dyDescent="0.25">
      <c r="A27" s="16">
        <v>25</v>
      </c>
      <c r="B27" s="16">
        <v>26</v>
      </c>
      <c r="C27" s="17">
        <v>0.19444444444444445</v>
      </c>
      <c r="D27" s="17">
        <v>0.50347222222222221</v>
      </c>
      <c r="E27" s="17">
        <v>0.54513888888888895</v>
      </c>
      <c r="F27" s="17">
        <v>0.84722222222222221</v>
      </c>
      <c r="G27" s="16">
        <v>109.07694375857339</v>
      </c>
      <c r="H27" s="16">
        <v>80.852958546280504</v>
      </c>
      <c r="I27" s="18">
        <v>199</v>
      </c>
      <c r="J27" t="s">
        <v>10</v>
      </c>
      <c r="K27">
        <f t="shared" si="0"/>
        <v>189.9299023048539</v>
      </c>
      <c r="L27" s="4">
        <f t="shared" si="1"/>
        <v>41</v>
      </c>
      <c r="M27" s="4">
        <f t="shared" si="2"/>
        <v>486</v>
      </c>
      <c r="N27" s="4">
        <f t="shared" si="3"/>
        <v>546.00000000000011</v>
      </c>
      <c r="O27" s="4">
        <f t="shared" si="4"/>
        <v>981</v>
      </c>
      <c r="Q27" s="57">
        <v>0.25347222222222299</v>
      </c>
      <c r="R27">
        <v>26</v>
      </c>
      <c r="T27" s="57">
        <v>8.6805555555555594E-2</v>
      </c>
    </row>
    <row r="28" spans="1:20" x14ac:dyDescent="0.25">
      <c r="A28" s="16">
        <v>26</v>
      </c>
      <c r="B28" s="16">
        <v>27</v>
      </c>
      <c r="C28" s="17">
        <v>0.20833333333333334</v>
      </c>
      <c r="D28" s="17">
        <v>0.51736111111111105</v>
      </c>
      <c r="E28" s="17">
        <v>0.55902777777777779</v>
      </c>
      <c r="F28" s="17">
        <v>0.86805555555555547</v>
      </c>
      <c r="G28" s="16">
        <v>109.07694375857339</v>
      </c>
      <c r="H28" s="16">
        <v>80.852958546280504</v>
      </c>
      <c r="I28" s="18">
        <v>199</v>
      </c>
      <c r="J28" t="s">
        <v>10</v>
      </c>
      <c r="K28">
        <f t="shared" si="0"/>
        <v>189.9299023048539</v>
      </c>
      <c r="L28" s="4">
        <f t="shared" si="1"/>
        <v>61</v>
      </c>
      <c r="M28" s="4">
        <f t="shared" si="2"/>
        <v>505.99999999999989</v>
      </c>
      <c r="N28" s="4">
        <f t="shared" si="3"/>
        <v>566</v>
      </c>
      <c r="O28" s="4">
        <f t="shared" si="4"/>
        <v>1010.9999999999998</v>
      </c>
      <c r="Q28" s="57">
        <v>0.25694444444444497</v>
      </c>
      <c r="R28">
        <v>27</v>
      </c>
      <c r="T28" s="57">
        <v>9.0277777777777804E-2</v>
      </c>
    </row>
    <row r="29" spans="1:20" x14ac:dyDescent="0.25">
      <c r="A29" s="16">
        <v>27</v>
      </c>
      <c r="B29" s="16">
        <v>28</v>
      </c>
      <c r="C29" s="17">
        <v>0.22222222222222199</v>
      </c>
      <c r="D29" s="17">
        <v>0.53472222222222221</v>
      </c>
      <c r="E29" s="17">
        <v>0.57291666666666696</v>
      </c>
      <c r="F29" s="17">
        <v>0.88541666666666663</v>
      </c>
      <c r="G29" s="16">
        <v>109.07694375857339</v>
      </c>
      <c r="H29" s="16">
        <v>80.852958546280504</v>
      </c>
      <c r="I29" s="18">
        <v>199</v>
      </c>
      <c r="J29" t="s">
        <v>10</v>
      </c>
      <c r="K29">
        <f t="shared" si="0"/>
        <v>189.9299023048539</v>
      </c>
      <c r="L29" s="4">
        <f t="shared" si="1"/>
        <v>80.999999999999659</v>
      </c>
      <c r="M29" s="4">
        <f t="shared" si="2"/>
        <v>531</v>
      </c>
      <c r="N29" s="4">
        <f t="shared" si="3"/>
        <v>586.00000000000045</v>
      </c>
      <c r="O29" s="4">
        <f t="shared" si="4"/>
        <v>1036</v>
      </c>
      <c r="Q29" s="57">
        <v>0.26041666666666702</v>
      </c>
      <c r="R29">
        <v>28</v>
      </c>
      <c r="T29" s="57">
        <v>9.375E-2</v>
      </c>
    </row>
    <row r="30" spans="1:20" x14ac:dyDescent="0.25">
      <c r="A30" s="16">
        <v>28</v>
      </c>
      <c r="B30" s="16">
        <v>29</v>
      </c>
      <c r="C30" s="17">
        <v>0.23611111111111099</v>
      </c>
      <c r="D30" s="17">
        <v>0.54513888888888895</v>
      </c>
      <c r="E30" s="17">
        <v>0.58680555555555503</v>
      </c>
      <c r="F30" s="17">
        <v>0.89583333333333337</v>
      </c>
      <c r="G30" s="16">
        <v>109.07694375857339</v>
      </c>
      <c r="H30" s="16">
        <v>80.852958546280504</v>
      </c>
      <c r="I30" s="18">
        <v>199</v>
      </c>
      <c r="J30" t="s">
        <v>10</v>
      </c>
      <c r="K30">
        <f t="shared" si="0"/>
        <v>189.9299023048539</v>
      </c>
      <c r="L30" s="4">
        <f t="shared" si="1"/>
        <v>100.99999999999983</v>
      </c>
      <c r="M30" s="4">
        <f t="shared" si="2"/>
        <v>546.00000000000011</v>
      </c>
      <c r="N30" s="4">
        <f t="shared" si="3"/>
        <v>605.99999999999932</v>
      </c>
      <c r="O30" s="4">
        <f t="shared" si="4"/>
        <v>1051</v>
      </c>
      <c r="Q30" s="57">
        <v>0.26388888888888901</v>
      </c>
      <c r="R30">
        <v>29</v>
      </c>
      <c r="T30" s="57">
        <v>9.7222222222222196E-2</v>
      </c>
    </row>
    <row r="31" spans="1:20" x14ac:dyDescent="0.25">
      <c r="A31" s="16">
        <v>29</v>
      </c>
      <c r="B31" s="16">
        <v>30</v>
      </c>
      <c r="C31" s="17">
        <v>0.24652777777777779</v>
      </c>
      <c r="D31" s="17">
        <v>0.55555555555555558</v>
      </c>
      <c r="E31" s="17">
        <v>0.59722222222222221</v>
      </c>
      <c r="F31" s="17">
        <v>0.90625</v>
      </c>
      <c r="G31" s="16">
        <v>109.07694375857339</v>
      </c>
      <c r="H31" s="16">
        <v>80.852958546280504</v>
      </c>
      <c r="I31" s="18">
        <v>199</v>
      </c>
      <c r="J31" t="s">
        <v>10</v>
      </c>
      <c r="K31">
        <f t="shared" si="0"/>
        <v>189.9299023048539</v>
      </c>
      <c r="L31" s="4">
        <f t="shared" si="1"/>
        <v>116</v>
      </c>
      <c r="M31" s="4">
        <f t="shared" si="2"/>
        <v>561</v>
      </c>
      <c r="N31" s="4">
        <f t="shared" si="3"/>
        <v>621</v>
      </c>
      <c r="O31" s="4">
        <f t="shared" si="4"/>
        <v>1066</v>
      </c>
      <c r="Q31" s="57">
        <v>0.26736111111111199</v>
      </c>
      <c r="R31">
        <v>30</v>
      </c>
      <c r="T31" s="57">
        <v>0.100694444444444</v>
      </c>
    </row>
    <row r="32" spans="1:20" x14ac:dyDescent="0.25">
      <c r="A32" s="16">
        <v>30</v>
      </c>
      <c r="B32" s="16">
        <v>31</v>
      </c>
      <c r="C32" s="17">
        <v>0.25694444444444448</v>
      </c>
      <c r="D32" s="17">
        <v>0.56597222222222221</v>
      </c>
      <c r="E32" s="17">
        <v>0.60763888888888895</v>
      </c>
      <c r="F32" s="17">
        <v>0.91666666666666663</v>
      </c>
      <c r="G32" s="16">
        <v>109.07694375857339</v>
      </c>
      <c r="H32" s="16">
        <v>80.852958546280504</v>
      </c>
      <c r="I32" s="18">
        <v>199</v>
      </c>
      <c r="J32" t="s">
        <v>10</v>
      </c>
      <c r="K32">
        <f t="shared" si="0"/>
        <v>189.9299023048539</v>
      </c>
      <c r="L32" s="4">
        <f t="shared" si="1"/>
        <v>131.00000000000006</v>
      </c>
      <c r="M32" s="4">
        <f t="shared" si="2"/>
        <v>576</v>
      </c>
      <c r="N32" s="4">
        <f t="shared" si="3"/>
        <v>636.00000000000011</v>
      </c>
      <c r="O32" s="4">
        <f t="shared" si="4"/>
        <v>1081</v>
      </c>
      <c r="Q32" s="57">
        <v>0.27083333333333398</v>
      </c>
      <c r="R32">
        <v>31</v>
      </c>
      <c r="T32" s="57">
        <v>0.104166666666667</v>
      </c>
    </row>
    <row r="33" spans="1:20" x14ac:dyDescent="0.25">
      <c r="A33" s="16">
        <v>31</v>
      </c>
      <c r="B33" s="16">
        <v>32</v>
      </c>
      <c r="C33" s="17">
        <v>0.26736111111111099</v>
      </c>
      <c r="D33" s="17">
        <v>0.57638888888888895</v>
      </c>
      <c r="E33" s="17">
        <v>0.61805555555555558</v>
      </c>
      <c r="F33" s="17">
        <v>0.92708333333333337</v>
      </c>
      <c r="G33" s="16">
        <v>109.07694375857339</v>
      </c>
      <c r="H33" s="16">
        <v>80.852958546280504</v>
      </c>
      <c r="I33" s="18">
        <v>199</v>
      </c>
      <c r="J33" t="s">
        <v>10</v>
      </c>
      <c r="K33">
        <f t="shared" si="0"/>
        <v>189.9299023048539</v>
      </c>
      <c r="L33" s="4">
        <f t="shared" si="1"/>
        <v>145.99999999999983</v>
      </c>
      <c r="M33" s="4">
        <f t="shared" si="2"/>
        <v>591.00000000000011</v>
      </c>
      <c r="N33" s="4">
        <f t="shared" si="3"/>
        <v>651</v>
      </c>
      <c r="O33" s="4">
        <f t="shared" si="4"/>
        <v>1096</v>
      </c>
      <c r="Q33" s="57">
        <v>0.27430555555555602</v>
      </c>
      <c r="R33">
        <v>32</v>
      </c>
      <c r="T33" s="57">
        <v>0.10763888888888901</v>
      </c>
    </row>
    <row r="34" spans="1:20" x14ac:dyDescent="0.25">
      <c r="A34" s="16">
        <v>32</v>
      </c>
      <c r="B34" s="16">
        <v>33</v>
      </c>
      <c r="C34" s="17">
        <v>0.27777777777777801</v>
      </c>
      <c r="D34" s="17">
        <v>0.58680555555555558</v>
      </c>
      <c r="E34" s="17">
        <v>0.62847222222222221</v>
      </c>
      <c r="F34" s="17">
        <v>0.9375</v>
      </c>
      <c r="G34" s="16">
        <v>109.07694375857339</v>
      </c>
      <c r="H34" s="16">
        <v>80.852958546280504</v>
      </c>
      <c r="I34" s="18">
        <v>199</v>
      </c>
      <c r="J34" t="s">
        <v>10</v>
      </c>
      <c r="K34">
        <f t="shared" si="0"/>
        <v>189.9299023048539</v>
      </c>
      <c r="L34" s="4">
        <f t="shared" si="1"/>
        <v>161.00000000000034</v>
      </c>
      <c r="M34" s="4">
        <f t="shared" si="2"/>
        <v>606</v>
      </c>
      <c r="N34" s="4">
        <f t="shared" si="3"/>
        <v>666</v>
      </c>
      <c r="O34" s="4">
        <f t="shared" si="4"/>
        <v>1111</v>
      </c>
      <c r="Q34" s="57">
        <v>0.27777777777777901</v>
      </c>
      <c r="R34">
        <v>33</v>
      </c>
      <c r="T34" s="57">
        <v>0.11111111111111099</v>
      </c>
    </row>
    <row r="35" spans="1:20" x14ac:dyDescent="0.25">
      <c r="A35" s="16">
        <v>33</v>
      </c>
      <c r="B35" s="16">
        <v>34</v>
      </c>
      <c r="C35" s="17">
        <v>0.28819444444444398</v>
      </c>
      <c r="D35" s="17">
        <v>0.59722222222222221</v>
      </c>
      <c r="E35" s="17">
        <v>0.65972222222222221</v>
      </c>
      <c r="F35" s="17">
        <v>0.96875</v>
      </c>
      <c r="G35" s="16">
        <v>109.07694375857339</v>
      </c>
      <c r="H35" s="16">
        <v>80.852958546280504</v>
      </c>
      <c r="I35" s="18">
        <v>199</v>
      </c>
      <c r="J35" t="s">
        <v>10</v>
      </c>
      <c r="K35">
        <f t="shared" si="0"/>
        <v>189.9299023048539</v>
      </c>
      <c r="L35" s="4">
        <f t="shared" si="1"/>
        <v>175.99999999999932</v>
      </c>
      <c r="M35" s="4">
        <f t="shared" si="2"/>
        <v>621</v>
      </c>
      <c r="N35" s="4">
        <f t="shared" si="3"/>
        <v>711</v>
      </c>
      <c r="O35" s="4">
        <f t="shared" si="4"/>
        <v>1156</v>
      </c>
      <c r="Q35" s="57">
        <v>0.281250000000001</v>
      </c>
      <c r="R35">
        <v>34</v>
      </c>
      <c r="T35" s="57">
        <v>0.114583333333333</v>
      </c>
    </row>
    <row r="36" spans="1:20" x14ac:dyDescent="0.25">
      <c r="A36" s="16">
        <v>34</v>
      </c>
      <c r="B36" s="16">
        <v>35</v>
      </c>
      <c r="C36" s="17">
        <v>0.29861111111111099</v>
      </c>
      <c r="D36" s="17">
        <v>0.60763888888888895</v>
      </c>
      <c r="E36" s="17">
        <v>0.67013888888888884</v>
      </c>
      <c r="F36" s="17">
        <v>0.97916666666666663</v>
      </c>
      <c r="G36" s="16">
        <v>109.07694375857339</v>
      </c>
      <c r="H36" s="16">
        <v>80.852958546280504</v>
      </c>
      <c r="I36" s="18">
        <v>199</v>
      </c>
      <c r="J36" t="s">
        <v>10</v>
      </c>
      <c r="K36">
        <f t="shared" si="0"/>
        <v>189.9299023048539</v>
      </c>
      <c r="L36" s="4">
        <f t="shared" si="1"/>
        <v>190.99999999999983</v>
      </c>
      <c r="M36" s="4">
        <f t="shared" si="2"/>
        <v>636.00000000000011</v>
      </c>
      <c r="N36" s="4">
        <f t="shared" si="3"/>
        <v>725.99999999999989</v>
      </c>
      <c r="O36" s="4">
        <f t="shared" si="4"/>
        <v>1171</v>
      </c>
      <c r="Q36" s="57">
        <v>0.28472222222222299</v>
      </c>
      <c r="R36">
        <v>35</v>
      </c>
      <c r="T36" s="57">
        <v>0.118055555555556</v>
      </c>
    </row>
    <row r="37" spans="1:20" x14ac:dyDescent="0.25">
      <c r="A37" s="16">
        <v>35</v>
      </c>
      <c r="B37" s="16">
        <v>36</v>
      </c>
      <c r="C37" s="17">
        <v>0.30902777777777801</v>
      </c>
      <c r="D37" s="17">
        <v>0.61805555555555558</v>
      </c>
      <c r="E37" s="17">
        <v>0.68055555555555547</v>
      </c>
      <c r="F37" s="17">
        <v>0.98958333333333337</v>
      </c>
      <c r="G37" s="16">
        <v>109.07694375857339</v>
      </c>
      <c r="H37" s="16">
        <v>80.852958546280504</v>
      </c>
      <c r="I37" s="18">
        <v>199</v>
      </c>
      <c r="J37" t="s">
        <v>10</v>
      </c>
      <c r="K37">
        <f t="shared" si="0"/>
        <v>189.9299023048539</v>
      </c>
      <c r="L37" s="4">
        <f t="shared" si="1"/>
        <v>206.00000000000034</v>
      </c>
      <c r="M37" s="4">
        <f t="shared" si="2"/>
        <v>651</v>
      </c>
      <c r="N37" s="4">
        <f t="shared" si="3"/>
        <v>740.99999999999989</v>
      </c>
      <c r="O37" s="4">
        <f t="shared" si="4"/>
        <v>1186</v>
      </c>
      <c r="Q37" s="57">
        <v>0.28819444444444497</v>
      </c>
      <c r="R37">
        <v>36</v>
      </c>
      <c r="T37" s="57">
        <v>0.121527777777778</v>
      </c>
    </row>
    <row r="38" spans="1:20" x14ac:dyDescent="0.25">
      <c r="A38" s="16">
        <v>36</v>
      </c>
      <c r="B38" s="16">
        <v>37</v>
      </c>
      <c r="C38" s="17">
        <v>0.31944444444444497</v>
      </c>
      <c r="D38" s="17">
        <v>0.62847222222222221</v>
      </c>
      <c r="E38" s="17">
        <v>0.69097222222222221</v>
      </c>
      <c r="F38" s="17">
        <v>6.9444444444444441E-3</v>
      </c>
      <c r="G38" s="16">
        <v>109.07694375857339</v>
      </c>
      <c r="H38" s="16">
        <v>80.852958546280504</v>
      </c>
      <c r="I38" s="18">
        <v>199</v>
      </c>
      <c r="J38" t="s">
        <v>10</v>
      </c>
      <c r="K38">
        <f t="shared" si="0"/>
        <v>189.9299023048539</v>
      </c>
      <c r="L38" s="4">
        <f t="shared" si="1"/>
        <v>221.0000000000008</v>
      </c>
      <c r="M38" s="4">
        <f t="shared" si="2"/>
        <v>666</v>
      </c>
      <c r="N38" s="4">
        <f t="shared" si="3"/>
        <v>756</v>
      </c>
      <c r="O38" s="4">
        <f>1440+CONVERT(F38,"day","mn")-239</f>
        <v>1211</v>
      </c>
      <c r="Q38" s="57">
        <v>0.29166666666666802</v>
      </c>
      <c r="R38">
        <v>37</v>
      </c>
      <c r="T38" s="57">
        <v>0.125</v>
      </c>
    </row>
    <row r="39" spans="1:20" x14ac:dyDescent="0.25">
      <c r="A39" s="16">
        <v>37</v>
      </c>
      <c r="B39" s="16">
        <v>38</v>
      </c>
      <c r="C39" s="17">
        <v>0.32986111111111099</v>
      </c>
      <c r="D39" s="17">
        <v>0.63888888888888895</v>
      </c>
      <c r="E39" s="17">
        <v>0.70138888888888884</v>
      </c>
      <c r="F39" s="17">
        <v>1.0416666666666666E-2</v>
      </c>
      <c r="G39" s="16">
        <v>109.07694375857339</v>
      </c>
      <c r="H39" s="16">
        <v>80.852958546280504</v>
      </c>
      <c r="I39" s="18">
        <v>199</v>
      </c>
      <c r="J39" t="s">
        <v>10</v>
      </c>
      <c r="K39">
        <f t="shared" si="0"/>
        <v>189.9299023048539</v>
      </c>
      <c r="L39" s="4">
        <f t="shared" si="1"/>
        <v>235.99999999999983</v>
      </c>
      <c r="M39" s="4">
        <f t="shared" si="2"/>
        <v>681.00000000000011</v>
      </c>
      <c r="N39" s="4">
        <f t="shared" si="3"/>
        <v>770.99999999999989</v>
      </c>
      <c r="O39" s="4">
        <f>1440+CONVERT(F39,"day","mn")-239</f>
        <v>1216</v>
      </c>
      <c r="Q39" s="57">
        <v>0.29513888888889001</v>
      </c>
      <c r="R39">
        <v>38</v>
      </c>
      <c r="T39" s="57">
        <v>0.12847222222222199</v>
      </c>
    </row>
    <row r="40" spans="1:20" x14ac:dyDescent="0.25">
      <c r="A40" s="16">
        <v>38</v>
      </c>
      <c r="B40" s="16">
        <v>39</v>
      </c>
      <c r="C40" s="17">
        <v>0.34027777777777801</v>
      </c>
      <c r="D40" s="17">
        <v>0.64930555555555558</v>
      </c>
      <c r="E40" s="17"/>
      <c r="F40" s="17"/>
      <c r="G40" s="16">
        <v>109.07694375857339</v>
      </c>
      <c r="H40" s="16">
        <v>0</v>
      </c>
      <c r="I40" s="18">
        <v>199</v>
      </c>
      <c r="J40" t="s">
        <v>10</v>
      </c>
      <c r="K40">
        <f t="shared" si="0"/>
        <v>109.07694375857339</v>
      </c>
      <c r="L40" s="4">
        <f t="shared" si="1"/>
        <v>251.00000000000034</v>
      </c>
      <c r="M40" s="4">
        <f t="shared" si="2"/>
        <v>696</v>
      </c>
      <c r="N40" s="4">
        <v>0</v>
      </c>
      <c r="O40" s="4">
        <v>0</v>
      </c>
      <c r="Q40" s="57">
        <v>0.29861111111111199</v>
      </c>
      <c r="R40">
        <v>39</v>
      </c>
      <c r="T40" s="57">
        <v>0.131944444444444</v>
      </c>
    </row>
    <row r="41" spans="1:20" x14ac:dyDescent="0.25">
      <c r="A41" s="16">
        <v>39</v>
      </c>
      <c r="B41" s="16">
        <v>40</v>
      </c>
      <c r="C41" s="17">
        <v>0.35069444444444497</v>
      </c>
      <c r="D41" s="17">
        <v>0.65972222222222221</v>
      </c>
      <c r="E41" s="17"/>
      <c r="F41" s="17"/>
      <c r="G41" s="16">
        <v>109.07694375857339</v>
      </c>
      <c r="H41" s="16">
        <v>0</v>
      </c>
      <c r="I41" s="18">
        <v>199</v>
      </c>
      <c r="J41" t="s">
        <v>10</v>
      </c>
      <c r="K41">
        <f t="shared" si="0"/>
        <v>109.07694375857339</v>
      </c>
      <c r="L41" s="4">
        <f t="shared" si="1"/>
        <v>266.0000000000008</v>
      </c>
      <c r="M41" s="4">
        <f t="shared" si="2"/>
        <v>711</v>
      </c>
      <c r="N41" s="4">
        <v>0</v>
      </c>
      <c r="O41" s="4">
        <v>0</v>
      </c>
      <c r="Q41" s="57">
        <v>0.30208333333333398</v>
      </c>
      <c r="R41">
        <v>40</v>
      </c>
      <c r="T41" s="57">
        <v>0.13541666666666699</v>
      </c>
    </row>
    <row r="42" spans="1:20" x14ac:dyDescent="0.25">
      <c r="A42" s="19">
        <v>40</v>
      </c>
      <c r="B42" s="19">
        <v>41</v>
      </c>
      <c r="C42" s="20">
        <v>0.16666666666666666</v>
      </c>
      <c r="D42" s="20">
        <v>0.4861111111111111</v>
      </c>
      <c r="E42" s="20">
        <v>0.54166666666666663</v>
      </c>
      <c r="F42" s="20">
        <v>0.86111111111111116</v>
      </c>
      <c r="G42" s="19">
        <v>118.95720713305883</v>
      </c>
      <c r="H42" s="19">
        <v>113.20233608815433</v>
      </c>
      <c r="I42" s="21">
        <v>889</v>
      </c>
      <c r="J42" t="s">
        <v>10</v>
      </c>
      <c r="K42">
        <f t="shared" si="0"/>
        <v>232.15954322121314</v>
      </c>
      <c r="L42" s="4">
        <f t="shared" si="1"/>
        <v>1</v>
      </c>
      <c r="M42" s="4">
        <f t="shared" si="2"/>
        <v>461</v>
      </c>
      <c r="N42" s="4">
        <f t="shared" si="3"/>
        <v>541</v>
      </c>
      <c r="O42" s="4">
        <f t="shared" si="4"/>
        <v>1001</v>
      </c>
      <c r="Q42" s="57">
        <v>0.30555555555555702</v>
      </c>
      <c r="R42">
        <v>41</v>
      </c>
      <c r="T42" s="57">
        <v>0.13888888888888901</v>
      </c>
    </row>
    <row r="43" spans="1:20" x14ac:dyDescent="0.25">
      <c r="A43" s="19">
        <v>41</v>
      </c>
      <c r="B43" s="19">
        <v>42</v>
      </c>
      <c r="C43" s="20">
        <v>0.17708333333333334</v>
      </c>
      <c r="D43" s="20">
        <v>0.49652777777777773</v>
      </c>
      <c r="E43" s="20">
        <v>0.55208333333333337</v>
      </c>
      <c r="F43" s="20">
        <v>0.87152777777777779</v>
      </c>
      <c r="G43" s="19">
        <v>118.95720713305883</v>
      </c>
      <c r="H43" s="19">
        <v>113.20233608815433</v>
      </c>
      <c r="I43" s="21">
        <v>889</v>
      </c>
      <c r="J43" t="s">
        <v>10</v>
      </c>
      <c r="K43">
        <f t="shared" si="0"/>
        <v>232.15954322121314</v>
      </c>
      <c r="L43" s="4">
        <f t="shared" si="1"/>
        <v>16</v>
      </c>
      <c r="M43" s="4">
        <f t="shared" si="2"/>
        <v>475.99999999999989</v>
      </c>
      <c r="N43" s="4">
        <f t="shared" si="3"/>
        <v>556</v>
      </c>
      <c r="O43" s="4">
        <f t="shared" si="4"/>
        <v>1016</v>
      </c>
      <c r="Q43" s="57">
        <v>0.30902777777777901</v>
      </c>
      <c r="R43">
        <v>42</v>
      </c>
      <c r="T43" s="57">
        <v>0.14236111111111099</v>
      </c>
    </row>
    <row r="44" spans="1:20" x14ac:dyDescent="0.25">
      <c r="A44" s="19">
        <v>42</v>
      </c>
      <c r="B44" s="19">
        <v>43</v>
      </c>
      <c r="C44" s="20">
        <v>0.1875</v>
      </c>
      <c r="D44" s="20">
        <v>0.50694444444444442</v>
      </c>
      <c r="E44" s="20">
        <v>0.5625</v>
      </c>
      <c r="F44" s="20">
        <v>0.88194444444444398</v>
      </c>
      <c r="G44" s="19">
        <v>118.95720713305883</v>
      </c>
      <c r="H44" s="19">
        <v>113.20233608815433</v>
      </c>
      <c r="I44" s="21">
        <v>889</v>
      </c>
      <c r="J44" t="s">
        <v>10</v>
      </c>
      <c r="K44">
        <f t="shared" si="0"/>
        <v>232.15954322121314</v>
      </c>
      <c r="L44" s="4">
        <f t="shared" si="1"/>
        <v>31</v>
      </c>
      <c r="M44" s="4">
        <f t="shared" si="2"/>
        <v>491</v>
      </c>
      <c r="N44" s="4">
        <f t="shared" si="3"/>
        <v>571</v>
      </c>
      <c r="O44" s="4">
        <f t="shared" si="4"/>
        <v>1030.9999999999993</v>
      </c>
      <c r="Q44" s="57">
        <v>0.312500000000001</v>
      </c>
      <c r="R44">
        <v>43</v>
      </c>
      <c r="T44" s="57">
        <v>0.14583333333333301</v>
      </c>
    </row>
    <row r="45" spans="1:20" x14ac:dyDescent="0.25">
      <c r="A45" s="19">
        <v>43</v>
      </c>
      <c r="B45" s="19">
        <v>44</v>
      </c>
      <c r="C45" s="20">
        <v>0.19791666666666666</v>
      </c>
      <c r="D45" s="20">
        <v>0.51736111111111105</v>
      </c>
      <c r="E45" s="20">
        <v>0.57291666666666696</v>
      </c>
      <c r="F45" s="20">
        <v>0.89236111111111105</v>
      </c>
      <c r="G45" s="19">
        <v>118.95720713305883</v>
      </c>
      <c r="H45" s="19">
        <v>113.20233608815433</v>
      </c>
      <c r="I45" s="21">
        <v>889</v>
      </c>
      <c r="J45" t="s">
        <v>10</v>
      </c>
      <c r="K45">
        <f t="shared" si="0"/>
        <v>232.15954322121314</v>
      </c>
      <c r="L45" s="4">
        <f t="shared" si="1"/>
        <v>46</v>
      </c>
      <c r="M45" s="4">
        <f t="shared" si="2"/>
        <v>505.99999999999989</v>
      </c>
      <c r="N45" s="4">
        <f t="shared" si="3"/>
        <v>586.00000000000045</v>
      </c>
      <c r="O45" s="4">
        <f t="shared" si="4"/>
        <v>1046</v>
      </c>
      <c r="Q45" s="57">
        <v>0.31597222222222299</v>
      </c>
      <c r="R45">
        <v>44</v>
      </c>
      <c r="T45" s="57">
        <v>0.149305555555556</v>
      </c>
    </row>
    <row r="46" spans="1:20" x14ac:dyDescent="0.25">
      <c r="A46" s="19">
        <v>44</v>
      </c>
      <c r="B46" s="19">
        <v>45</v>
      </c>
      <c r="C46" s="20">
        <v>0.20833333333333334</v>
      </c>
      <c r="D46" s="20">
        <v>0.52777777777777779</v>
      </c>
      <c r="E46" s="20">
        <v>0.58333333333333404</v>
      </c>
      <c r="F46" s="20">
        <v>0.90277777777777801</v>
      </c>
      <c r="G46" s="19">
        <v>118.95720713305883</v>
      </c>
      <c r="H46" s="19">
        <v>113.20233608815433</v>
      </c>
      <c r="I46" s="21">
        <v>889</v>
      </c>
      <c r="J46" t="s">
        <v>10</v>
      </c>
      <c r="K46">
        <f t="shared" si="0"/>
        <v>232.15954322121314</v>
      </c>
      <c r="L46" s="4">
        <f t="shared" si="1"/>
        <v>61</v>
      </c>
      <c r="M46" s="4">
        <f t="shared" si="2"/>
        <v>521</v>
      </c>
      <c r="N46" s="4">
        <f t="shared" si="3"/>
        <v>601.00000000000102</v>
      </c>
      <c r="O46" s="4">
        <f t="shared" si="4"/>
        <v>1061.0000000000002</v>
      </c>
      <c r="Q46" s="57">
        <v>0.31944444444444497</v>
      </c>
      <c r="R46">
        <v>45</v>
      </c>
      <c r="T46" s="57">
        <v>0.15277777777777801</v>
      </c>
    </row>
    <row r="47" spans="1:20" x14ac:dyDescent="0.25">
      <c r="A47" s="19">
        <v>45</v>
      </c>
      <c r="B47" s="19">
        <v>46</v>
      </c>
      <c r="C47" s="20">
        <v>0.21875</v>
      </c>
      <c r="D47" s="20">
        <v>0.53819444444444442</v>
      </c>
      <c r="E47" s="20">
        <v>0.59375</v>
      </c>
      <c r="F47" s="20">
        <v>0.91319444444444398</v>
      </c>
      <c r="G47" s="19">
        <v>118.95720713305883</v>
      </c>
      <c r="H47" s="19">
        <v>113.20233608815433</v>
      </c>
      <c r="I47" s="21">
        <v>889</v>
      </c>
      <c r="J47" t="s">
        <v>10</v>
      </c>
      <c r="K47">
        <f t="shared" si="0"/>
        <v>232.15954322121314</v>
      </c>
      <c r="L47" s="4">
        <f t="shared" si="1"/>
        <v>76</v>
      </c>
      <c r="M47" s="4">
        <f t="shared" si="2"/>
        <v>536</v>
      </c>
      <c r="N47" s="4">
        <f t="shared" si="3"/>
        <v>616</v>
      </c>
      <c r="O47" s="4">
        <f t="shared" si="4"/>
        <v>1075.9999999999993</v>
      </c>
      <c r="Q47" s="57">
        <v>0.32291666666666802</v>
      </c>
      <c r="R47">
        <v>46</v>
      </c>
      <c r="T47" s="57">
        <v>0.15625</v>
      </c>
    </row>
    <row r="48" spans="1:20" x14ac:dyDescent="0.25">
      <c r="A48" s="19">
        <v>46</v>
      </c>
      <c r="B48" s="19">
        <v>47</v>
      </c>
      <c r="C48" s="20">
        <v>0.22916666666666666</v>
      </c>
      <c r="D48" s="20">
        <v>0.54861111111111105</v>
      </c>
      <c r="E48" s="20">
        <v>0.60416666666666696</v>
      </c>
      <c r="F48" s="20">
        <v>0.92361111111111105</v>
      </c>
      <c r="G48" s="19">
        <v>118.95720713305883</v>
      </c>
      <c r="H48" s="19">
        <v>113.20233608815433</v>
      </c>
      <c r="I48" s="21">
        <v>889</v>
      </c>
      <c r="J48" t="s">
        <v>10</v>
      </c>
      <c r="K48">
        <f t="shared" si="0"/>
        <v>232.15954322121314</v>
      </c>
      <c r="L48" s="4">
        <f t="shared" si="1"/>
        <v>91</v>
      </c>
      <c r="M48" s="4">
        <f t="shared" si="2"/>
        <v>550.99999999999989</v>
      </c>
      <c r="N48" s="4">
        <f t="shared" si="3"/>
        <v>631.00000000000045</v>
      </c>
      <c r="O48" s="4">
        <f t="shared" si="4"/>
        <v>1091</v>
      </c>
      <c r="Q48" s="57">
        <v>0.32638888888889001</v>
      </c>
      <c r="R48">
        <v>47</v>
      </c>
      <c r="T48" s="57">
        <v>0.15972222222222199</v>
      </c>
    </row>
    <row r="49" spans="1:20" x14ac:dyDescent="0.25">
      <c r="A49" s="19">
        <v>47</v>
      </c>
      <c r="B49" s="19">
        <v>48</v>
      </c>
      <c r="C49" s="20">
        <v>0.23958333333333334</v>
      </c>
      <c r="D49" s="20">
        <v>0.55902777777777779</v>
      </c>
      <c r="E49" s="20">
        <v>0.61458333333333404</v>
      </c>
      <c r="F49" s="20">
        <v>0.93402777777777801</v>
      </c>
      <c r="G49" s="19">
        <v>118.95720713305883</v>
      </c>
      <c r="H49" s="19">
        <v>113.20233608815433</v>
      </c>
      <c r="I49" s="21">
        <v>889</v>
      </c>
      <c r="J49" t="s">
        <v>10</v>
      </c>
      <c r="K49">
        <f t="shared" si="0"/>
        <v>232.15954322121314</v>
      </c>
      <c r="L49" s="4">
        <f t="shared" si="1"/>
        <v>106</v>
      </c>
      <c r="M49" s="4">
        <f t="shared" si="2"/>
        <v>566</v>
      </c>
      <c r="N49" s="4">
        <f t="shared" si="3"/>
        <v>646.00000000000102</v>
      </c>
      <c r="O49" s="4">
        <f t="shared" si="4"/>
        <v>1106.0000000000002</v>
      </c>
      <c r="Q49" s="57">
        <v>0.32986111111111199</v>
      </c>
      <c r="R49">
        <v>48</v>
      </c>
      <c r="T49" s="57">
        <v>0.163194444444444</v>
      </c>
    </row>
    <row r="50" spans="1:20" x14ac:dyDescent="0.25">
      <c r="A50" s="19">
        <v>48</v>
      </c>
      <c r="B50" s="19">
        <v>49</v>
      </c>
      <c r="C50" s="20">
        <v>0.25</v>
      </c>
      <c r="D50" s="20">
        <v>0.56944444444444442</v>
      </c>
      <c r="E50" s="20">
        <v>0.625000000000001</v>
      </c>
      <c r="F50" s="20">
        <v>0.94444444444444398</v>
      </c>
      <c r="G50" s="19">
        <v>118.95720713305883</v>
      </c>
      <c r="H50" s="19">
        <v>113.20233608815433</v>
      </c>
      <c r="I50" s="21">
        <v>889</v>
      </c>
      <c r="J50" t="s">
        <v>10</v>
      </c>
      <c r="K50">
        <f t="shared" si="0"/>
        <v>232.15954322121314</v>
      </c>
      <c r="L50" s="4">
        <f t="shared" si="1"/>
        <v>121</v>
      </c>
      <c r="M50" s="4">
        <f t="shared" si="2"/>
        <v>581</v>
      </c>
      <c r="N50" s="4">
        <f t="shared" si="3"/>
        <v>661.00000000000148</v>
      </c>
      <c r="O50" s="4">
        <f t="shared" si="4"/>
        <v>1120.9999999999993</v>
      </c>
      <c r="Q50" s="57">
        <v>0.33333333333333398</v>
      </c>
      <c r="R50">
        <v>49</v>
      </c>
      <c r="T50" s="57">
        <v>0.16666666666666699</v>
      </c>
    </row>
    <row r="51" spans="1:20" x14ac:dyDescent="0.25">
      <c r="A51" s="19">
        <v>49</v>
      </c>
      <c r="B51" s="19">
        <v>50</v>
      </c>
      <c r="C51" s="20">
        <v>0.26041666666666669</v>
      </c>
      <c r="D51" s="20">
        <v>0.57986111111111105</v>
      </c>
      <c r="E51" s="20">
        <v>0.63541666666666696</v>
      </c>
      <c r="F51" s="20">
        <v>0.95486111111111105</v>
      </c>
      <c r="G51" s="19">
        <v>118.95720713305883</v>
      </c>
      <c r="H51" s="19">
        <v>113.20233608815433</v>
      </c>
      <c r="I51" s="21">
        <v>889</v>
      </c>
      <c r="J51" t="s">
        <v>10</v>
      </c>
      <c r="K51">
        <f t="shared" si="0"/>
        <v>232.15954322121314</v>
      </c>
      <c r="L51" s="4">
        <f t="shared" si="1"/>
        <v>136</v>
      </c>
      <c r="M51" s="4">
        <f t="shared" si="2"/>
        <v>595.99999999999989</v>
      </c>
      <c r="N51" s="4">
        <f t="shared" si="3"/>
        <v>676.00000000000045</v>
      </c>
      <c r="O51" s="4">
        <f t="shared" si="4"/>
        <v>1136</v>
      </c>
      <c r="Q51" s="57">
        <v>0.33680555555555702</v>
      </c>
      <c r="R51">
        <v>50</v>
      </c>
    </row>
    <row r="52" spans="1:20" x14ac:dyDescent="0.25">
      <c r="A52" s="19">
        <v>50</v>
      </c>
      <c r="B52" s="19">
        <v>51</v>
      </c>
      <c r="C52" s="20">
        <v>0.27083333333333331</v>
      </c>
      <c r="D52" s="20">
        <v>0.59027777777777779</v>
      </c>
      <c r="E52" s="20">
        <v>0.64583333333333404</v>
      </c>
      <c r="F52" s="20">
        <v>0.96527777777777701</v>
      </c>
      <c r="G52" s="19">
        <v>118.95720713305883</v>
      </c>
      <c r="H52" s="19">
        <v>113.20233608815433</v>
      </c>
      <c r="I52" s="21">
        <v>889</v>
      </c>
      <c r="J52" t="s">
        <v>10</v>
      </c>
      <c r="K52">
        <f t="shared" si="0"/>
        <v>232.15954322121314</v>
      </c>
      <c r="L52" s="4">
        <f t="shared" si="1"/>
        <v>151</v>
      </c>
      <c r="M52" s="4">
        <f t="shared" si="2"/>
        <v>611</v>
      </c>
      <c r="N52" s="4">
        <f t="shared" si="3"/>
        <v>691.00000000000102</v>
      </c>
      <c r="O52" s="4">
        <f t="shared" si="4"/>
        <v>1150.9999999999989</v>
      </c>
      <c r="Q52" s="57">
        <v>0.34027777777777901</v>
      </c>
      <c r="R52">
        <v>51</v>
      </c>
    </row>
    <row r="53" spans="1:20" x14ac:dyDescent="0.25">
      <c r="A53" s="19">
        <v>51</v>
      </c>
      <c r="B53" s="19">
        <v>52</v>
      </c>
      <c r="C53" s="20">
        <v>0.28125</v>
      </c>
      <c r="D53" s="20">
        <v>0.60069444444444442</v>
      </c>
      <c r="E53" s="20">
        <v>0.656250000000001</v>
      </c>
      <c r="F53" s="20">
        <v>0.97569444444444442</v>
      </c>
      <c r="G53" s="19">
        <v>118.95720713305883</v>
      </c>
      <c r="H53" s="19">
        <v>113.20233608815433</v>
      </c>
      <c r="I53" s="21">
        <v>889</v>
      </c>
      <c r="J53" t="s">
        <v>10</v>
      </c>
      <c r="K53">
        <f t="shared" si="0"/>
        <v>232.15954322121314</v>
      </c>
      <c r="L53" s="4">
        <f t="shared" si="1"/>
        <v>166</v>
      </c>
      <c r="M53" s="4">
        <f t="shared" si="2"/>
        <v>626</v>
      </c>
      <c r="N53" s="4">
        <f t="shared" si="3"/>
        <v>706.00000000000148</v>
      </c>
      <c r="O53" s="4">
        <f t="shared" si="4"/>
        <v>1166</v>
      </c>
      <c r="Q53" s="57">
        <v>0.343750000000001</v>
      </c>
      <c r="R53">
        <v>52</v>
      </c>
    </row>
    <row r="54" spans="1:20" x14ac:dyDescent="0.25">
      <c r="A54" s="19">
        <v>52</v>
      </c>
      <c r="B54" s="19">
        <v>53</v>
      </c>
      <c r="C54" s="20">
        <v>0.29166666666666669</v>
      </c>
      <c r="D54" s="20">
        <v>0.61111111111111105</v>
      </c>
      <c r="E54" s="20">
        <v>0.66666666666666796</v>
      </c>
      <c r="F54" s="20">
        <v>0.98611111111111105</v>
      </c>
      <c r="G54" s="19">
        <v>118.95720713305883</v>
      </c>
      <c r="H54" s="19">
        <v>113.20233608815433</v>
      </c>
      <c r="I54" s="21">
        <v>889</v>
      </c>
      <c r="J54" t="s">
        <v>10</v>
      </c>
      <c r="K54">
        <f t="shared" si="0"/>
        <v>232.15954322121314</v>
      </c>
      <c r="L54" s="4">
        <f t="shared" si="1"/>
        <v>181</v>
      </c>
      <c r="M54" s="4">
        <f t="shared" si="2"/>
        <v>640.99999999999989</v>
      </c>
      <c r="N54" s="4">
        <f t="shared" si="3"/>
        <v>721.00000000000182</v>
      </c>
      <c r="O54" s="4">
        <f t="shared" si="4"/>
        <v>1181</v>
      </c>
      <c r="Q54" s="57">
        <v>0.34722222222222299</v>
      </c>
      <c r="R54">
        <v>53</v>
      </c>
    </row>
    <row r="55" spans="1:20" x14ac:dyDescent="0.25">
      <c r="A55" s="19">
        <v>53</v>
      </c>
      <c r="B55" s="19">
        <v>54</v>
      </c>
      <c r="C55" s="20">
        <v>0.30208333333333331</v>
      </c>
      <c r="D55" s="20">
        <v>0.62152777777777779</v>
      </c>
      <c r="E55" s="20">
        <v>0.67708333333333504</v>
      </c>
      <c r="F55" s="20">
        <v>0.99652777777777779</v>
      </c>
      <c r="G55" s="19">
        <v>118.95720713305883</v>
      </c>
      <c r="H55" s="19">
        <v>113.20233608815433</v>
      </c>
      <c r="I55" s="21">
        <v>889</v>
      </c>
      <c r="J55" t="s">
        <v>10</v>
      </c>
      <c r="K55">
        <f t="shared" si="0"/>
        <v>232.15954322121314</v>
      </c>
      <c r="L55" s="4">
        <f t="shared" si="1"/>
        <v>196</v>
      </c>
      <c r="M55" s="4">
        <f t="shared" si="2"/>
        <v>656</v>
      </c>
      <c r="N55" s="4">
        <f t="shared" si="3"/>
        <v>736.00000000000239</v>
      </c>
      <c r="O55" s="4">
        <f t="shared" si="4"/>
        <v>1196</v>
      </c>
      <c r="Q55" s="57">
        <v>0.35069444444444597</v>
      </c>
      <c r="R55">
        <v>54</v>
      </c>
    </row>
    <row r="56" spans="1:20" x14ac:dyDescent="0.25">
      <c r="A56" s="19">
        <v>54</v>
      </c>
      <c r="B56" s="19">
        <v>55</v>
      </c>
      <c r="C56" s="20">
        <v>0.3125</v>
      </c>
      <c r="D56" s="20">
        <v>0.63194444444444442</v>
      </c>
      <c r="E56" s="20">
        <v>0.687500000000001</v>
      </c>
      <c r="F56" s="20">
        <v>6.9444444444444441E-3</v>
      </c>
      <c r="G56" s="19">
        <v>118.95720713305883</v>
      </c>
      <c r="H56" s="19">
        <v>113.20233608815433</v>
      </c>
      <c r="I56" s="21">
        <v>889</v>
      </c>
      <c r="J56" t="s">
        <v>10</v>
      </c>
      <c r="K56">
        <f t="shared" si="0"/>
        <v>232.15954322121314</v>
      </c>
      <c r="L56" s="4">
        <f t="shared" si="1"/>
        <v>211</v>
      </c>
      <c r="M56" s="4">
        <f t="shared" si="2"/>
        <v>671</v>
      </c>
      <c r="N56" s="4">
        <f t="shared" si="3"/>
        <v>751.00000000000148</v>
      </c>
      <c r="O56" s="4">
        <f>1440+CONVERT(F56,"day","mn")-239</f>
        <v>1211</v>
      </c>
      <c r="Q56" s="57">
        <v>0.35416666666666802</v>
      </c>
      <c r="R56">
        <v>55</v>
      </c>
    </row>
    <row r="57" spans="1:20" x14ac:dyDescent="0.25">
      <c r="A57">
        <v>55</v>
      </c>
      <c r="B57" s="22">
        <v>56</v>
      </c>
      <c r="C57" s="23">
        <v>0.19444444444444445</v>
      </c>
      <c r="D57" s="23">
        <v>0.50347222222222221</v>
      </c>
      <c r="E57" s="23">
        <v>0.60416666666666663</v>
      </c>
      <c r="F57" s="23">
        <v>0.91319444444444453</v>
      </c>
      <c r="G57" s="22">
        <v>105.55293827160511</v>
      </c>
      <c r="H57" s="22">
        <v>81.1295847750864</v>
      </c>
      <c r="I57" s="24" t="s">
        <v>11</v>
      </c>
      <c r="J57" t="s">
        <v>10</v>
      </c>
      <c r="K57">
        <f t="shared" si="0"/>
        <v>186.68252304669153</v>
      </c>
      <c r="L57" s="4">
        <f t="shared" si="1"/>
        <v>41</v>
      </c>
      <c r="M57" s="4">
        <f t="shared" si="2"/>
        <v>486</v>
      </c>
      <c r="N57" s="4">
        <f t="shared" si="3"/>
        <v>631</v>
      </c>
      <c r="O57" s="4">
        <f t="shared" si="4"/>
        <v>1076.0000000000002</v>
      </c>
      <c r="Q57" s="57">
        <v>0.35763888888889001</v>
      </c>
      <c r="R57">
        <v>56</v>
      </c>
    </row>
    <row r="58" spans="1:20" x14ac:dyDescent="0.25">
      <c r="A58">
        <v>56</v>
      </c>
      <c r="B58" s="22">
        <v>57</v>
      </c>
      <c r="C58" s="23">
        <v>0.25</v>
      </c>
      <c r="D58" s="23">
        <v>0.55902777777777779</v>
      </c>
      <c r="E58" s="23">
        <v>0.63194444444444442</v>
      </c>
      <c r="F58" s="23">
        <v>0.94097222222222221</v>
      </c>
      <c r="G58" s="22">
        <v>105.55293827160511</v>
      </c>
      <c r="H58" s="22">
        <v>81.1295847750864</v>
      </c>
      <c r="I58" s="24" t="s">
        <v>11</v>
      </c>
      <c r="J58" t="s">
        <v>10</v>
      </c>
      <c r="K58">
        <f t="shared" si="0"/>
        <v>186.68252304669153</v>
      </c>
      <c r="L58" s="4">
        <f t="shared" si="1"/>
        <v>121</v>
      </c>
      <c r="M58" s="4">
        <f t="shared" si="2"/>
        <v>566</v>
      </c>
      <c r="N58" s="4">
        <f t="shared" si="3"/>
        <v>671</v>
      </c>
      <c r="O58" s="4">
        <f t="shared" si="4"/>
        <v>1116</v>
      </c>
      <c r="Q58" s="57">
        <v>0.36111111111111199</v>
      </c>
      <c r="R58">
        <v>57</v>
      </c>
    </row>
    <row r="59" spans="1:20" x14ac:dyDescent="0.25">
      <c r="A59">
        <v>57</v>
      </c>
      <c r="B59" s="22">
        <v>58</v>
      </c>
      <c r="C59" s="23">
        <v>0.27777777777777779</v>
      </c>
      <c r="D59" s="23">
        <v>0.58680555555555558</v>
      </c>
      <c r="E59" s="23">
        <v>0.65972222222222221</v>
      </c>
      <c r="F59" s="23">
        <v>0.96875</v>
      </c>
      <c r="G59" s="22">
        <v>105.55293827160511</v>
      </c>
      <c r="H59" s="22">
        <v>81.1295847750864</v>
      </c>
      <c r="I59" s="24" t="s">
        <v>11</v>
      </c>
      <c r="J59" t="s">
        <v>10</v>
      </c>
      <c r="K59">
        <f t="shared" si="0"/>
        <v>186.68252304669153</v>
      </c>
      <c r="L59" s="4">
        <f t="shared" si="1"/>
        <v>161</v>
      </c>
      <c r="M59" s="4">
        <f t="shared" si="2"/>
        <v>606</v>
      </c>
      <c r="N59" s="4">
        <f t="shared" si="3"/>
        <v>711</v>
      </c>
      <c r="O59" s="4">
        <f t="shared" si="4"/>
        <v>1156</v>
      </c>
      <c r="Q59" s="57">
        <v>0.36458333333333498</v>
      </c>
      <c r="R59">
        <v>58</v>
      </c>
    </row>
    <row r="60" spans="1:20" x14ac:dyDescent="0.25">
      <c r="A60">
        <v>58</v>
      </c>
      <c r="B60" s="22">
        <v>59</v>
      </c>
      <c r="C60" s="23">
        <v>0.30555555555555552</v>
      </c>
      <c r="D60" s="23">
        <v>0.61458333333333337</v>
      </c>
      <c r="E60" s="23">
        <v>0.71527777777777768</v>
      </c>
      <c r="F60" s="23">
        <v>2.4305555555555556E-2</v>
      </c>
      <c r="G60" s="22">
        <v>105.55293827160511</v>
      </c>
      <c r="H60" s="22">
        <v>81.1295847750864</v>
      </c>
      <c r="I60" s="24" t="s">
        <v>11</v>
      </c>
      <c r="J60" t="s">
        <v>10</v>
      </c>
      <c r="K60">
        <f t="shared" si="0"/>
        <v>186.68252304669153</v>
      </c>
      <c r="L60" s="4">
        <f t="shared" si="1"/>
        <v>200.99999999999994</v>
      </c>
      <c r="M60" s="4">
        <f t="shared" si="2"/>
        <v>646</v>
      </c>
      <c r="N60" s="4">
        <f t="shared" si="3"/>
        <v>790.99999999999977</v>
      </c>
      <c r="O60" s="4">
        <f>1440+CONVERT(F60,"day","mn")-239</f>
        <v>1236</v>
      </c>
      <c r="Q60" s="57">
        <v>0.36805555555555702</v>
      </c>
      <c r="R60">
        <v>59</v>
      </c>
    </row>
    <row r="61" spans="1:20" x14ac:dyDescent="0.25">
      <c r="A61">
        <v>59</v>
      </c>
      <c r="B61" s="22">
        <v>60</v>
      </c>
      <c r="C61" s="23">
        <v>0.3611111111111111</v>
      </c>
      <c r="D61" s="23">
        <v>0.67013888888888884</v>
      </c>
      <c r="E61" s="23"/>
      <c r="F61" s="23"/>
      <c r="G61" s="22">
        <v>105.55293827160511</v>
      </c>
      <c r="H61" s="22">
        <v>0</v>
      </c>
      <c r="I61" s="24" t="s">
        <v>11</v>
      </c>
      <c r="J61" t="s">
        <v>10</v>
      </c>
      <c r="K61">
        <f t="shared" si="0"/>
        <v>105.55293827160511</v>
      </c>
      <c r="L61" s="4">
        <f t="shared" si="1"/>
        <v>281</v>
      </c>
      <c r="M61" s="4">
        <f t="shared" si="2"/>
        <v>725.99999999999989</v>
      </c>
      <c r="N61" s="4">
        <v>0</v>
      </c>
      <c r="O61" s="4">
        <v>0</v>
      </c>
      <c r="Q61" s="57">
        <v>0.37152777777777901</v>
      </c>
      <c r="R61">
        <v>60</v>
      </c>
    </row>
    <row r="62" spans="1:20" x14ac:dyDescent="0.25">
      <c r="A62">
        <v>60</v>
      </c>
      <c r="B62" s="25">
        <v>61</v>
      </c>
      <c r="C62" s="26">
        <v>0.18055555555555555</v>
      </c>
      <c r="D62" s="26">
        <v>0.49652777777777773</v>
      </c>
      <c r="E62" s="26">
        <v>0.54513888888888884</v>
      </c>
      <c r="F62" s="26">
        <v>0.86111111111111116</v>
      </c>
      <c r="G62" s="25">
        <v>119.41947016460924</v>
      </c>
      <c r="H62" s="25">
        <v>118.87291322314047</v>
      </c>
      <c r="I62" s="27" t="s">
        <v>12</v>
      </c>
      <c r="J62" t="s">
        <v>10</v>
      </c>
      <c r="K62">
        <f t="shared" si="0"/>
        <v>238.29238338774971</v>
      </c>
      <c r="L62" s="4">
        <f t="shared" si="1"/>
        <v>21</v>
      </c>
      <c r="M62" s="4">
        <f t="shared" si="2"/>
        <v>475.99999999999989</v>
      </c>
      <c r="N62" s="4">
        <f t="shared" si="3"/>
        <v>545.99999999999989</v>
      </c>
      <c r="O62" s="4">
        <f t="shared" si="4"/>
        <v>1001</v>
      </c>
      <c r="Q62" s="57">
        <v>0.375000000000001</v>
      </c>
      <c r="R62">
        <v>61</v>
      </c>
    </row>
    <row r="63" spans="1:20" x14ac:dyDescent="0.25">
      <c r="A63">
        <v>61</v>
      </c>
      <c r="B63" s="25">
        <v>62</v>
      </c>
      <c r="C63" s="26">
        <v>0.20138888888888887</v>
      </c>
      <c r="D63" s="26">
        <v>0.51736111111111105</v>
      </c>
      <c r="E63" s="26">
        <v>0.56597222222222221</v>
      </c>
      <c r="F63" s="26">
        <v>0.89930555555555547</v>
      </c>
      <c r="G63" s="25">
        <v>119.41947016460924</v>
      </c>
      <c r="H63" s="25">
        <v>118.87291322314047</v>
      </c>
      <c r="I63" s="27" t="s">
        <v>12</v>
      </c>
      <c r="J63" t="s">
        <v>10</v>
      </c>
      <c r="K63">
        <f t="shared" si="0"/>
        <v>238.29238338774971</v>
      </c>
      <c r="L63" s="4">
        <f t="shared" si="1"/>
        <v>50.999999999999943</v>
      </c>
      <c r="M63" s="4">
        <f t="shared" si="2"/>
        <v>505.99999999999989</v>
      </c>
      <c r="N63" s="4">
        <f t="shared" si="3"/>
        <v>576</v>
      </c>
      <c r="O63" s="4">
        <f t="shared" si="4"/>
        <v>1055.9999999999998</v>
      </c>
      <c r="Q63" s="57">
        <v>0.37847222222222299</v>
      </c>
      <c r="R63">
        <v>62</v>
      </c>
    </row>
    <row r="64" spans="1:20" x14ac:dyDescent="0.25">
      <c r="A64">
        <v>62</v>
      </c>
      <c r="B64" s="25">
        <v>63</v>
      </c>
      <c r="C64" s="26">
        <v>0.22222222222222221</v>
      </c>
      <c r="D64" s="26">
        <v>0.53819444444444442</v>
      </c>
      <c r="E64" s="26">
        <v>0.58680555555555547</v>
      </c>
      <c r="F64" s="26">
        <v>0.90277777777777779</v>
      </c>
      <c r="G64" s="25">
        <v>119.41947016460924</v>
      </c>
      <c r="H64" s="25">
        <v>118.87291322314047</v>
      </c>
      <c r="I64" s="27" t="s">
        <v>12</v>
      </c>
      <c r="J64" t="s">
        <v>10</v>
      </c>
      <c r="K64">
        <f t="shared" si="0"/>
        <v>238.29238338774971</v>
      </c>
      <c r="L64" s="4">
        <f t="shared" si="1"/>
        <v>81</v>
      </c>
      <c r="M64" s="4">
        <f t="shared" si="2"/>
        <v>536</v>
      </c>
      <c r="N64" s="4">
        <f t="shared" si="3"/>
        <v>605.99999999999989</v>
      </c>
      <c r="O64" s="4">
        <f t="shared" si="4"/>
        <v>1061</v>
      </c>
      <c r="Q64" s="57">
        <v>0.38194444444444597</v>
      </c>
      <c r="R64">
        <v>63</v>
      </c>
    </row>
    <row r="65" spans="1:18" x14ac:dyDescent="0.25">
      <c r="A65">
        <v>63</v>
      </c>
      <c r="B65" s="25">
        <v>64</v>
      </c>
      <c r="C65" s="26">
        <v>0.24305555555555555</v>
      </c>
      <c r="D65" s="26">
        <v>0.55902777777777779</v>
      </c>
      <c r="E65" s="26">
        <v>0.60763888888888884</v>
      </c>
      <c r="F65" s="26">
        <v>0.92361111111111116</v>
      </c>
      <c r="G65" s="25">
        <v>119.41947016460924</v>
      </c>
      <c r="H65" s="25">
        <v>118.87291322314047</v>
      </c>
      <c r="I65" s="27" t="s">
        <v>12</v>
      </c>
      <c r="J65" t="s">
        <v>10</v>
      </c>
      <c r="K65">
        <f t="shared" si="0"/>
        <v>238.29238338774971</v>
      </c>
      <c r="L65" s="4">
        <f t="shared" si="1"/>
        <v>111</v>
      </c>
      <c r="M65" s="4">
        <f t="shared" si="2"/>
        <v>566</v>
      </c>
      <c r="N65" s="4">
        <f t="shared" si="3"/>
        <v>635.99999999999989</v>
      </c>
      <c r="O65" s="4">
        <f t="shared" si="4"/>
        <v>1091</v>
      </c>
      <c r="Q65" s="57">
        <v>0.38541666666666802</v>
      </c>
      <c r="R65">
        <v>64</v>
      </c>
    </row>
    <row r="66" spans="1:18" x14ac:dyDescent="0.25">
      <c r="A66">
        <v>64</v>
      </c>
      <c r="B66" s="25">
        <v>65</v>
      </c>
      <c r="C66" s="26">
        <v>0.2638888888888889</v>
      </c>
      <c r="D66" s="26">
        <v>0.57986111111111105</v>
      </c>
      <c r="E66" s="26">
        <v>0.62847222222222221</v>
      </c>
      <c r="F66" s="26">
        <v>0.94444444444444453</v>
      </c>
      <c r="G66" s="25">
        <v>119.41947016460924</v>
      </c>
      <c r="H66" s="25">
        <v>118.87291322314047</v>
      </c>
      <c r="I66" s="27" t="s">
        <v>12</v>
      </c>
      <c r="J66" t="s">
        <v>10</v>
      </c>
      <c r="K66">
        <f t="shared" si="0"/>
        <v>238.29238338774971</v>
      </c>
      <c r="L66" s="4">
        <f t="shared" si="1"/>
        <v>141</v>
      </c>
      <c r="M66" s="4">
        <f t="shared" si="2"/>
        <v>595.99999999999989</v>
      </c>
      <c r="N66" s="4">
        <f t="shared" si="3"/>
        <v>666</v>
      </c>
      <c r="O66" s="4">
        <f t="shared" si="4"/>
        <v>1121.0000000000002</v>
      </c>
      <c r="Q66" s="57">
        <v>0.38888888888889001</v>
      </c>
      <c r="R66">
        <v>65</v>
      </c>
    </row>
    <row r="67" spans="1:18" x14ac:dyDescent="0.25">
      <c r="A67">
        <v>65</v>
      </c>
      <c r="B67" s="25">
        <v>66</v>
      </c>
      <c r="C67" s="26">
        <v>0.28472222222222221</v>
      </c>
      <c r="D67" s="26">
        <v>0.60069444444444442</v>
      </c>
      <c r="E67" s="26">
        <v>0.64930555555555547</v>
      </c>
      <c r="F67" s="26">
        <v>0.96527777777777779</v>
      </c>
      <c r="G67" s="25">
        <v>119.41947016460924</v>
      </c>
      <c r="H67" s="25">
        <v>118.87291322314047</v>
      </c>
      <c r="I67" s="27" t="s">
        <v>12</v>
      </c>
      <c r="J67" t="s">
        <v>10</v>
      </c>
      <c r="K67">
        <f t="shared" ref="K67:K102" si="6">SUM(G67:H67)</f>
        <v>238.29238338774971</v>
      </c>
      <c r="L67" s="4">
        <f t="shared" ref="L67:L102" si="7">CONVERT(C67,"day","mn")-239</f>
        <v>171</v>
      </c>
      <c r="M67" s="4">
        <f t="shared" ref="M67:M102" si="8">CONVERT(D67,"day","mn")-239</f>
        <v>626</v>
      </c>
      <c r="N67" s="4">
        <f t="shared" ref="N67:N96" si="9">CONVERT(E67,"day","mn")-239</f>
        <v>695.99999999999989</v>
      </c>
      <c r="O67" s="4">
        <f t="shared" ref="O67:O95" si="10">CONVERT(F67,"day","mn")-239</f>
        <v>1151</v>
      </c>
      <c r="Q67" s="57">
        <v>0.39236111111111199</v>
      </c>
      <c r="R67">
        <v>66</v>
      </c>
    </row>
    <row r="68" spans="1:18" x14ac:dyDescent="0.25">
      <c r="A68">
        <v>66</v>
      </c>
      <c r="B68" s="25">
        <v>67</v>
      </c>
      <c r="C68" s="26">
        <v>0.30555555555555552</v>
      </c>
      <c r="D68" s="26">
        <v>0.62152777777777779</v>
      </c>
      <c r="E68" s="26">
        <v>0.67013888888888884</v>
      </c>
      <c r="F68" s="26">
        <v>0.98611111111111116</v>
      </c>
      <c r="G68" s="25">
        <v>119.41947016460924</v>
      </c>
      <c r="H68" s="25">
        <v>118.87291322314047</v>
      </c>
      <c r="I68" s="27" t="s">
        <v>12</v>
      </c>
      <c r="J68" t="s">
        <v>10</v>
      </c>
      <c r="K68">
        <f t="shared" si="6"/>
        <v>238.29238338774971</v>
      </c>
      <c r="L68" s="4">
        <f t="shared" si="7"/>
        <v>200.99999999999994</v>
      </c>
      <c r="M68" s="4">
        <f t="shared" si="8"/>
        <v>656</v>
      </c>
      <c r="N68" s="4">
        <f t="shared" si="9"/>
        <v>725.99999999999989</v>
      </c>
      <c r="O68" s="4">
        <f t="shared" si="10"/>
        <v>1181</v>
      </c>
      <c r="Q68" s="57">
        <v>0.39583333333333498</v>
      </c>
      <c r="R68">
        <v>67</v>
      </c>
    </row>
    <row r="69" spans="1:18" x14ac:dyDescent="0.25">
      <c r="A69">
        <v>67</v>
      </c>
      <c r="B69" s="25">
        <v>68</v>
      </c>
      <c r="C69" s="26">
        <v>0.3263888888888889</v>
      </c>
      <c r="D69" s="26">
        <v>0.64236111111111105</v>
      </c>
      <c r="E69" s="26">
        <v>0.69097222222222221</v>
      </c>
      <c r="F69" s="26">
        <v>6.9444444444444441E-3</v>
      </c>
      <c r="G69" s="25">
        <v>119.41947016460924</v>
      </c>
      <c r="H69" s="25">
        <v>118.87291322314047</v>
      </c>
      <c r="I69" s="27" t="s">
        <v>12</v>
      </c>
      <c r="J69" t="s">
        <v>10</v>
      </c>
      <c r="K69">
        <f t="shared" si="6"/>
        <v>238.29238338774971</v>
      </c>
      <c r="L69" s="4">
        <f t="shared" si="7"/>
        <v>231</v>
      </c>
      <c r="M69" s="4">
        <f t="shared" si="8"/>
        <v>685.99999999999989</v>
      </c>
      <c r="N69" s="4">
        <f t="shared" si="9"/>
        <v>756</v>
      </c>
      <c r="O69" s="4">
        <f>1440+CONVERT(F69,"day","mn")-239</f>
        <v>1211</v>
      </c>
      <c r="Q69" s="57">
        <v>0.39930555555555702</v>
      </c>
      <c r="R69">
        <v>68</v>
      </c>
    </row>
    <row r="70" spans="1:18" x14ac:dyDescent="0.25">
      <c r="A70">
        <v>68</v>
      </c>
      <c r="B70" s="7">
        <v>69</v>
      </c>
      <c r="C70" s="8">
        <v>0.2013888888888889</v>
      </c>
      <c r="D70" s="8">
        <v>0.51041666666666663</v>
      </c>
      <c r="E70" s="8">
        <v>0.56249999999999989</v>
      </c>
      <c r="F70" s="8">
        <v>0.87152777777777779</v>
      </c>
      <c r="G70" s="7">
        <v>110.20985233599583</v>
      </c>
      <c r="H70" s="7">
        <v>108.70678658240134</v>
      </c>
      <c r="I70" s="9" t="s">
        <v>13</v>
      </c>
      <c r="J70" t="s">
        <v>10</v>
      </c>
      <c r="K70">
        <f t="shared" si="6"/>
        <v>218.91663891839715</v>
      </c>
      <c r="L70" s="4">
        <f t="shared" si="7"/>
        <v>51</v>
      </c>
      <c r="M70" s="4">
        <f t="shared" si="8"/>
        <v>496</v>
      </c>
      <c r="N70" s="4">
        <f t="shared" si="9"/>
        <v>570.99999999999989</v>
      </c>
      <c r="O70" s="4">
        <f t="shared" si="10"/>
        <v>1016</v>
      </c>
      <c r="Q70" s="57">
        <v>0.40277777777777901</v>
      </c>
      <c r="R70">
        <v>69</v>
      </c>
    </row>
    <row r="71" spans="1:18" x14ac:dyDescent="0.25">
      <c r="A71">
        <v>69</v>
      </c>
      <c r="B71" s="7">
        <v>70</v>
      </c>
      <c r="C71" s="8">
        <v>0.21875000000000003</v>
      </c>
      <c r="D71" s="8">
        <v>0.52777777777777779</v>
      </c>
      <c r="E71" s="8">
        <v>0.57638888888888884</v>
      </c>
      <c r="F71" s="8">
        <v>0.88541666666666663</v>
      </c>
      <c r="G71" s="7">
        <v>110.20985233599583</v>
      </c>
      <c r="H71" s="7">
        <v>108.70678658240134</v>
      </c>
      <c r="I71" s="9" t="s">
        <v>13</v>
      </c>
      <c r="J71" t="s">
        <v>10</v>
      </c>
      <c r="K71">
        <f t="shared" si="6"/>
        <v>218.91663891839715</v>
      </c>
      <c r="L71" s="4">
        <f t="shared" si="7"/>
        <v>76.000000000000057</v>
      </c>
      <c r="M71" s="4">
        <f t="shared" si="8"/>
        <v>521</v>
      </c>
      <c r="N71" s="4">
        <f t="shared" si="9"/>
        <v>590.99999999999989</v>
      </c>
      <c r="O71" s="4">
        <f t="shared" si="10"/>
        <v>1036</v>
      </c>
      <c r="Q71" s="57">
        <v>0.406250000000001</v>
      </c>
      <c r="R71">
        <v>70</v>
      </c>
    </row>
    <row r="72" spans="1:18" x14ac:dyDescent="0.25">
      <c r="A72">
        <v>70</v>
      </c>
      <c r="B72" s="7">
        <v>71</v>
      </c>
      <c r="C72" s="8">
        <v>0.22569444444444445</v>
      </c>
      <c r="D72" s="8">
        <v>0.53472222222222221</v>
      </c>
      <c r="E72" s="8">
        <v>0.58333333333333326</v>
      </c>
      <c r="F72" s="8">
        <v>0.89236111111111116</v>
      </c>
      <c r="G72" s="7">
        <v>110.20985233599583</v>
      </c>
      <c r="H72" s="7">
        <v>108.70678658240134</v>
      </c>
      <c r="I72" s="9" t="s">
        <v>13</v>
      </c>
      <c r="J72" t="s">
        <v>10</v>
      </c>
      <c r="K72">
        <f t="shared" si="6"/>
        <v>218.91663891839715</v>
      </c>
      <c r="L72" s="4">
        <f t="shared" si="7"/>
        <v>86</v>
      </c>
      <c r="M72" s="4">
        <f t="shared" si="8"/>
        <v>531</v>
      </c>
      <c r="N72" s="4">
        <f t="shared" si="9"/>
        <v>600.99999999999989</v>
      </c>
      <c r="O72" s="4">
        <f t="shared" si="10"/>
        <v>1046</v>
      </c>
      <c r="Q72" s="57">
        <v>0.40972222222222399</v>
      </c>
      <c r="R72">
        <v>71</v>
      </c>
    </row>
    <row r="73" spans="1:18" x14ac:dyDescent="0.25">
      <c r="A73">
        <v>71</v>
      </c>
      <c r="B73" s="7">
        <v>72</v>
      </c>
      <c r="C73" s="8">
        <v>0.2361111111111111</v>
      </c>
      <c r="D73" s="8">
        <v>0.54513888888888884</v>
      </c>
      <c r="E73" s="8">
        <v>0.59374999999999989</v>
      </c>
      <c r="F73" s="8">
        <v>0.90625</v>
      </c>
      <c r="G73" s="7">
        <v>110.20985233599583</v>
      </c>
      <c r="H73" s="7">
        <v>108.70678658240134</v>
      </c>
      <c r="I73" s="9" t="s">
        <v>13</v>
      </c>
      <c r="J73" t="s">
        <v>10</v>
      </c>
      <c r="K73">
        <f t="shared" si="6"/>
        <v>218.91663891839715</v>
      </c>
      <c r="L73" s="4">
        <f t="shared" si="7"/>
        <v>101</v>
      </c>
      <c r="M73" s="4">
        <f t="shared" si="8"/>
        <v>545.99999999999989</v>
      </c>
      <c r="N73" s="4">
        <f t="shared" si="9"/>
        <v>615.99999999999989</v>
      </c>
      <c r="O73" s="4">
        <f t="shared" si="10"/>
        <v>1066</v>
      </c>
      <c r="Q73" s="57">
        <v>0.41319444444444597</v>
      </c>
      <c r="R73">
        <v>72</v>
      </c>
    </row>
    <row r="74" spans="1:18" x14ac:dyDescent="0.25">
      <c r="A74">
        <v>72</v>
      </c>
      <c r="B74" s="7">
        <v>73</v>
      </c>
      <c r="C74" s="8">
        <v>0.24305555555555555</v>
      </c>
      <c r="D74" s="8">
        <v>0.55208333333333326</v>
      </c>
      <c r="E74" s="8">
        <v>0.60069444444444442</v>
      </c>
      <c r="F74" s="8">
        <v>0.90972222222222221</v>
      </c>
      <c r="G74" s="7">
        <v>110.20985233599583</v>
      </c>
      <c r="H74" s="7">
        <v>108.70678658240134</v>
      </c>
      <c r="I74" s="9" t="s">
        <v>13</v>
      </c>
      <c r="J74" t="s">
        <v>10</v>
      </c>
      <c r="K74">
        <f t="shared" si="6"/>
        <v>218.91663891839715</v>
      </c>
      <c r="L74" s="4">
        <f t="shared" si="7"/>
        <v>111</v>
      </c>
      <c r="M74" s="4">
        <f t="shared" si="8"/>
        <v>555.99999999999989</v>
      </c>
      <c r="N74" s="4">
        <f t="shared" si="9"/>
        <v>626</v>
      </c>
      <c r="O74" s="4">
        <f t="shared" si="10"/>
        <v>1071</v>
      </c>
      <c r="Q74" s="57">
        <v>0.41666666666666802</v>
      </c>
      <c r="R74">
        <v>73</v>
      </c>
    </row>
    <row r="75" spans="1:18" x14ac:dyDescent="0.25">
      <c r="A75">
        <v>73</v>
      </c>
      <c r="B75" s="7">
        <v>74</v>
      </c>
      <c r="C75" s="8">
        <v>0.25347222222222221</v>
      </c>
      <c r="D75" s="8">
        <v>0.5625</v>
      </c>
      <c r="E75" s="8">
        <v>0.61111111111111105</v>
      </c>
      <c r="F75" s="8">
        <v>0.92013888888888884</v>
      </c>
      <c r="G75" s="7">
        <v>110.20985233599583</v>
      </c>
      <c r="H75" s="7">
        <v>108.70678658240134</v>
      </c>
      <c r="I75" s="9" t="s">
        <v>13</v>
      </c>
      <c r="J75" t="s">
        <v>10</v>
      </c>
      <c r="K75">
        <f t="shared" si="6"/>
        <v>218.91663891839715</v>
      </c>
      <c r="L75" s="4">
        <f t="shared" si="7"/>
        <v>126</v>
      </c>
      <c r="M75" s="4">
        <f t="shared" si="8"/>
        <v>571</v>
      </c>
      <c r="N75" s="4">
        <f t="shared" si="9"/>
        <v>640.99999999999989</v>
      </c>
      <c r="O75" s="4">
        <f t="shared" si="10"/>
        <v>1086</v>
      </c>
      <c r="Q75" s="57">
        <v>0.42013888888889001</v>
      </c>
      <c r="R75">
        <v>74</v>
      </c>
    </row>
    <row r="76" spans="1:18" x14ac:dyDescent="0.25">
      <c r="A76">
        <v>74</v>
      </c>
      <c r="B76" s="7">
        <v>75</v>
      </c>
      <c r="C76" s="8">
        <v>0.26041666666666669</v>
      </c>
      <c r="D76" s="8">
        <v>0.56944444444444442</v>
      </c>
      <c r="E76" s="8">
        <v>0.61805555555555547</v>
      </c>
      <c r="F76" s="8">
        <v>0.92708333333333337</v>
      </c>
      <c r="G76" s="7">
        <v>110.20985233599583</v>
      </c>
      <c r="H76" s="7">
        <v>108.70678658240134</v>
      </c>
      <c r="I76" s="9" t="s">
        <v>13</v>
      </c>
      <c r="J76" t="s">
        <v>10</v>
      </c>
      <c r="K76">
        <f t="shared" si="6"/>
        <v>218.91663891839715</v>
      </c>
      <c r="L76" s="4">
        <f t="shared" si="7"/>
        <v>136</v>
      </c>
      <c r="M76" s="4">
        <f t="shared" si="8"/>
        <v>581</v>
      </c>
      <c r="N76" s="4">
        <f t="shared" si="9"/>
        <v>650.99999999999989</v>
      </c>
      <c r="O76" s="4">
        <f t="shared" si="10"/>
        <v>1096</v>
      </c>
      <c r="Q76" s="57">
        <v>0.42361111111111299</v>
      </c>
      <c r="R76">
        <v>75</v>
      </c>
    </row>
    <row r="77" spans="1:18" x14ac:dyDescent="0.25">
      <c r="A77">
        <v>75</v>
      </c>
      <c r="B77" s="7">
        <v>76</v>
      </c>
      <c r="C77" s="8">
        <v>0.27083333333333337</v>
      </c>
      <c r="D77" s="8">
        <v>0.57986111111111116</v>
      </c>
      <c r="E77" s="8">
        <v>0.62847222222222221</v>
      </c>
      <c r="F77" s="8">
        <v>0.9375</v>
      </c>
      <c r="G77" s="7">
        <v>110.20985233599583</v>
      </c>
      <c r="H77" s="7">
        <v>108.70678658240134</v>
      </c>
      <c r="I77" s="9" t="s">
        <v>13</v>
      </c>
      <c r="J77" t="s">
        <v>10</v>
      </c>
      <c r="K77">
        <f t="shared" si="6"/>
        <v>218.91663891839715</v>
      </c>
      <c r="L77" s="4">
        <f t="shared" si="7"/>
        <v>151.00000000000006</v>
      </c>
      <c r="M77" s="4">
        <f t="shared" si="8"/>
        <v>596.00000000000011</v>
      </c>
      <c r="N77" s="4">
        <f t="shared" si="9"/>
        <v>666</v>
      </c>
      <c r="O77" s="4">
        <f t="shared" si="10"/>
        <v>1111</v>
      </c>
      <c r="Q77" s="57">
        <v>0.42708333333333498</v>
      </c>
      <c r="R77">
        <v>76</v>
      </c>
    </row>
    <row r="78" spans="1:18" x14ac:dyDescent="0.25">
      <c r="A78">
        <v>76</v>
      </c>
      <c r="B78" s="7">
        <v>77</v>
      </c>
      <c r="C78" s="8">
        <v>0.27777777777777779</v>
      </c>
      <c r="D78" s="8">
        <v>0.58680555555555558</v>
      </c>
      <c r="E78" s="8">
        <v>0.63541666666666663</v>
      </c>
      <c r="F78" s="8">
        <v>0.94444444444444453</v>
      </c>
      <c r="G78" s="7">
        <v>110.20985233599583</v>
      </c>
      <c r="H78" s="7">
        <v>108.70678658240134</v>
      </c>
      <c r="I78" s="9" t="s">
        <v>13</v>
      </c>
      <c r="J78" t="s">
        <v>10</v>
      </c>
      <c r="K78">
        <f t="shared" si="6"/>
        <v>218.91663891839715</v>
      </c>
      <c r="L78" s="4">
        <f t="shared" si="7"/>
        <v>161</v>
      </c>
      <c r="M78" s="4">
        <f t="shared" si="8"/>
        <v>606</v>
      </c>
      <c r="N78" s="4">
        <f t="shared" si="9"/>
        <v>676</v>
      </c>
      <c r="O78" s="4">
        <f t="shared" si="10"/>
        <v>1121.0000000000002</v>
      </c>
      <c r="Q78" s="57">
        <v>0.43055555555555702</v>
      </c>
      <c r="R78">
        <v>77</v>
      </c>
    </row>
    <row r="79" spans="1:18" x14ac:dyDescent="0.25">
      <c r="A79">
        <v>77</v>
      </c>
      <c r="B79" s="7">
        <v>78</v>
      </c>
      <c r="C79" s="8">
        <v>0.28819444444444442</v>
      </c>
      <c r="D79" s="8">
        <v>0.5972222222222221</v>
      </c>
      <c r="E79" s="8">
        <v>0.64583333333333326</v>
      </c>
      <c r="F79" s="8">
        <v>0.95486111111111116</v>
      </c>
      <c r="G79" s="7">
        <v>110.20985233599583</v>
      </c>
      <c r="H79" s="7">
        <v>108.70678658240134</v>
      </c>
      <c r="I79" s="9" t="s">
        <v>13</v>
      </c>
      <c r="J79" t="s">
        <v>10</v>
      </c>
      <c r="K79">
        <f t="shared" si="6"/>
        <v>218.91663891839715</v>
      </c>
      <c r="L79" s="4">
        <f t="shared" si="7"/>
        <v>175.99999999999994</v>
      </c>
      <c r="M79" s="4">
        <f t="shared" si="8"/>
        <v>620.99999999999989</v>
      </c>
      <c r="N79" s="4">
        <f t="shared" si="9"/>
        <v>690.99999999999989</v>
      </c>
      <c r="O79" s="4">
        <f t="shared" si="10"/>
        <v>1136</v>
      </c>
      <c r="Q79" s="57">
        <v>0.43402777777777901</v>
      </c>
      <c r="R79">
        <v>78</v>
      </c>
    </row>
    <row r="80" spans="1:18" x14ac:dyDescent="0.25">
      <c r="A80">
        <v>78</v>
      </c>
      <c r="B80" s="7">
        <v>79</v>
      </c>
      <c r="C80" s="8">
        <v>0.2951388888888889</v>
      </c>
      <c r="D80" s="8">
        <v>0.60416666666666663</v>
      </c>
      <c r="E80" s="8">
        <v>0.65277777777777779</v>
      </c>
      <c r="F80" s="8">
        <v>0.96180555555555547</v>
      </c>
      <c r="G80" s="7">
        <v>110.20985233599583</v>
      </c>
      <c r="H80" s="7">
        <v>108.70678658240134</v>
      </c>
      <c r="I80" s="9" t="s">
        <v>13</v>
      </c>
      <c r="J80" t="s">
        <v>10</v>
      </c>
      <c r="K80">
        <f t="shared" si="6"/>
        <v>218.91663891839715</v>
      </c>
      <c r="L80" s="4">
        <f t="shared" si="7"/>
        <v>186</v>
      </c>
      <c r="M80" s="4">
        <f t="shared" si="8"/>
        <v>631</v>
      </c>
      <c r="N80" s="4">
        <f t="shared" si="9"/>
        <v>701</v>
      </c>
      <c r="O80" s="4">
        <f t="shared" si="10"/>
        <v>1145.9999999999998</v>
      </c>
      <c r="Q80" s="57">
        <v>0.437500000000002</v>
      </c>
      <c r="R80">
        <v>79</v>
      </c>
    </row>
    <row r="81" spans="1:18" x14ac:dyDescent="0.25">
      <c r="A81">
        <v>79</v>
      </c>
      <c r="B81" s="7">
        <v>80</v>
      </c>
      <c r="C81" s="8">
        <v>0.30555555555555558</v>
      </c>
      <c r="D81" s="8">
        <v>0.61458333333333326</v>
      </c>
      <c r="E81" s="8">
        <v>0.66319444444444442</v>
      </c>
      <c r="F81" s="8">
        <v>0.97222222222222221</v>
      </c>
      <c r="G81" s="7">
        <v>110.20985233599583</v>
      </c>
      <c r="H81" s="7">
        <v>108.70678658240134</v>
      </c>
      <c r="I81" s="9" t="s">
        <v>13</v>
      </c>
      <c r="J81" t="s">
        <v>10</v>
      </c>
      <c r="K81">
        <f t="shared" si="6"/>
        <v>218.91663891839715</v>
      </c>
      <c r="L81" s="4">
        <f t="shared" si="7"/>
        <v>201.00000000000006</v>
      </c>
      <c r="M81" s="4">
        <f t="shared" si="8"/>
        <v>645.99999999999989</v>
      </c>
      <c r="N81" s="4">
        <f t="shared" si="9"/>
        <v>716</v>
      </c>
      <c r="O81" s="4">
        <f t="shared" si="10"/>
        <v>1161</v>
      </c>
      <c r="Q81" s="57">
        <v>0.44097222222222399</v>
      </c>
      <c r="R81">
        <v>80</v>
      </c>
    </row>
    <row r="82" spans="1:18" x14ac:dyDescent="0.25">
      <c r="A82">
        <v>80</v>
      </c>
      <c r="B82" s="7">
        <v>81</v>
      </c>
      <c r="C82" s="8">
        <v>0.3125</v>
      </c>
      <c r="D82" s="8">
        <v>0.61805555555555558</v>
      </c>
      <c r="E82" s="8">
        <v>0.67013888888888884</v>
      </c>
      <c r="F82" s="8">
        <v>0.97916666666666663</v>
      </c>
      <c r="G82" s="7">
        <v>110.20985233599583</v>
      </c>
      <c r="H82" s="7">
        <v>108.70678658240134</v>
      </c>
      <c r="I82" s="9" t="s">
        <v>13</v>
      </c>
      <c r="J82" t="s">
        <v>10</v>
      </c>
      <c r="K82">
        <f t="shared" si="6"/>
        <v>218.91663891839715</v>
      </c>
      <c r="L82" s="4">
        <f t="shared" si="7"/>
        <v>211</v>
      </c>
      <c r="M82" s="4">
        <f t="shared" si="8"/>
        <v>651</v>
      </c>
      <c r="N82" s="4">
        <f t="shared" si="9"/>
        <v>725.99999999999989</v>
      </c>
      <c r="O82" s="4">
        <f t="shared" si="10"/>
        <v>1171</v>
      </c>
      <c r="Q82" s="57">
        <v>0.44444444444444597</v>
      </c>
      <c r="R82">
        <v>81</v>
      </c>
    </row>
    <row r="83" spans="1:18" x14ac:dyDescent="0.25">
      <c r="A83">
        <v>81</v>
      </c>
      <c r="B83" s="7">
        <v>82</v>
      </c>
      <c r="C83" s="8">
        <v>0.32291666666666669</v>
      </c>
      <c r="D83" s="8">
        <v>0.63194444444444442</v>
      </c>
      <c r="E83" s="8">
        <v>0.68055555555555547</v>
      </c>
      <c r="F83" s="8">
        <v>0.98958333333333337</v>
      </c>
      <c r="G83" s="7">
        <v>110.20985233599583</v>
      </c>
      <c r="H83" s="7">
        <v>108.70678658240134</v>
      </c>
      <c r="I83" s="9" t="s">
        <v>13</v>
      </c>
      <c r="J83" t="s">
        <v>10</v>
      </c>
      <c r="K83">
        <f t="shared" si="6"/>
        <v>218.91663891839715</v>
      </c>
      <c r="L83" s="4">
        <f t="shared" si="7"/>
        <v>226</v>
      </c>
      <c r="M83" s="4">
        <f t="shared" si="8"/>
        <v>671</v>
      </c>
      <c r="N83" s="4">
        <f t="shared" si="9"/>
        <v>740.99999999999989</v>
      </c>
      <c r="O83" s="4">
        <f t="shared" si="10"/>
        <v>1186</v>
      </c>
      <c r="Q83" s="57">
        <v>0.44791666666666802</v>
      </c>
      <c r="R83">
        <v>82</v>
      </c>
    </row>
    <row r="84" spans="1:18" x14ac:dyDescent="0.25">
      <c r="A84">
        <v>82</v>
      </c>
      <c r="B84" s="7">
        <v>83</v>
      </c>
      <c r="C84" s="8">
        <v>0.3298611111111111</v>
      </c>
      <c r="D84" s="8">
        <v>0.63888888888888884</v>
      </c>
      <c r="E84" s="8">
        <v>0.69097222222222221</v>
      </c>
      <c r="F84" s="8">
        <v>0</v>
      </c>
      <c r="G84" s="7">
        <v>110.20985233599583</v>
      </c>
      <c r="H84" s="7">
        <v>108.70678658240134</v>
      </c>
      <c r="I84" s="9" t="s">
        <v>13</v>
      </c>
      <c r="J84" t="s">
        <v>10</v>
      </c>
      <c r="K84">
        <f t="shared" si="6"/>
        <v>218.91663891839715</v>
      </c>
      <c r="L84" s="4">
        <f t="shared" si="7"/>
        <v>236</v>
      </c>
      <c r="M84" s="4">
        <f t="shared" si="8"/>
        <v>680.99999999999989</v>
      </c>
      <c r="N84" s="4">
        <f t="shared" si="9"/>
        <v>756</v>
      </c>
      <c r="O84" s="4">
        <f>1440+CONVERT(F84,"day","mn")-239</f>
        <v>1201</v>
      </c>
      <c r="Q84" s="57">
        <v>0.45138888888889001</v>
      </c>
      <c r="R84">
        <v>83</v>
      </c>
    </row>
    <row r="85" spans="1:18" x14ac:dyDescent="0.25">
      <c r="A85">
        <v>83</v>
      </c>
      <c r="B85" s="7">
        <v>84</v>
      </c>
      <c r="C85" s="8">
        <v>0.34027777777777779</v>
      </c>
      <c r="D85" s="8">
        <v>0.64930555555555558</v>
      </c>
      <c r="E85" s="8">
        <v>0.69791666666666663</v>
      </c>
      <c r="F85" s="8">
        <v>6.9444444444444441E-3</v>
      </c>
      <c r="G85" s="7">
        <v>110.20985233599583</v>
      </c>
      <c r="H85" s="7">
        <v>108.70678658240134</v>
      </c>
      <c r="I85" s="9" t="s">
        <v>13</v>
      </c>
      <c r="J85" t="s">
        <v>10</v>
      </c>
      <c r="K85">
        <f t="shared" si="6"/>
        <v>218.91663891839715</v>
      </c>
      <c r="L85" s="4">
        <f t="shared" si="7"/>
        <v>251</v>
      </c>
      <c r="M85" s="4">
        <f t="shared" si="8"/>
        <v>696</v>
      </c>
      <c r="N85" s="4">
        <f t="shared" si="9"/>
        <v>766</v>
      </c>
      <c r="O85" s="4">
        <f t="shared" ref="O85:O86" si="11">1440+CONVERT(F85,"day","mn")-239</f>
        <v>1211</v>
      </c>
      <c r="Q85" s="57">
        <v>0.45486111111111299</v>
      </c>
      <c r="R85">
        <v>84</v>
      </c>
    </row>
    <row r="86" spans="1:18" x14ac:dyDescent="0.25">
      <c r="A86">
        <v>84</v>
      </c>
      <c r="B86" s="7">
        <v>85</v>
      </c>
      <c r="C86" s="8">
        <v>0.3576388888888889</v>
      </c>
      <c r="D86" s="8">
        <v>0.66666666666666663</v>
      </c>
      <c r="E86" s="8">
        <v>0.70833333333333337</v>
      </c>
      <c r="F86" s="8">
        <v>1.7361111111111112E-2</v>
      </c>
      <c r="G86" s="7">
        <v>110.20985233599583</v>
      </c>
      <c r="H86" s="7">
        <v>108.70678658240134</v>
      </c>
      <c r="I86" s="9" t="s">
        <v>13</v>
      </c>
      <c r="J86" t="s">
        <v>10</v>
      </c>
      <c r="K86">
        <f t="shared" si="6"/>
        <v>218.91663891839715</v>
      </c>
      <c r="L86" s="4">
        <f t="shared" si="7"/>
        <v>276</v>
      </c>
      <c r="M86" s="4">
        <f t="shared" si="8"/>
        <v>721</v>
      </c>
      <c r="N86" s="4">
        <f t="shared" si="9"/>
        <v>781</v>
      </c>
      <c r="O86" s="4">
        <f t="shared" si="11"/>
        <v>1226</v>
      </c>
      <c r="Q86" s="57">
        <v>0.45833333333333498</v>
      </c>
      <c r="R86">
        <v>85</v>
      </c>
    </row>
    <row r="87" spans="1:18" x14ac:dyDescent="0.25">
      <c r="A87">
        <v>85</v>
      </c>
      <c r="B87" s="28">
        <v>86</v>
      </c>
      <c r="C87" s="29">
        <v>0.19444444444444445</v>
      </c>
      <c r="D87" s="29">
        <v>0.50347222222222221</v>
      </c>
      <c r="E87" s="29">
        <v>0.54861111111111105</v>
      </c>
      <c r="F87" s="29">
        <v>0.85763888888888884</v>
      </c>
      <c r="G87" s="28">
        <v>103.88497942386834</v>
      </c>
      <c r="H87" s="28">
        <v>97.981818181818156</v>
      </c>
      <c r="I87" s="30" t="s">
        <v>14</v>
      </c>
      <c r="J87" t="s">
        <v>10</v>
      </c>
      <c r="K87">
        <f t="shared" si="6"/>
        <v>201.86679760568649</v>
      </c>
      <c r="L87" s="4">
        <f t="shared" si="7"/>
        <v>41</v>
      </c>
      <c r="M87" s="4">
        <f t="shared" si="8"/>
        <v>486</v>
      </c>
      <c r="N87" s="4">
        <f t="shared" si="9"/>
        <v>550.99999999999989</v>
      </c>
      <c r="O87" s="4">
        <f t="shared" si="10"/>
        <v>996</v>
      </c>
      <c r="Q87" s="57">
        <v>0.46180555555555702</v>
      </c>
      <c r="R87">
        <v>86</v>
      </c>
    </row>
    <row r="88" spans="1:18" x14ac:dyDescent="0.25">
      <c r="A88">
        <v>86</v>
      </c>
      <c r="B88" s="28">
        <v>87</v>
      </c>
      <c r="C88" s="29">
        <v>0.25</v>
      </c>
      <c r="D88" s="29">
        <v>0.55902777777777779</v>
      </c>
      <c r="E88" s="29">
        <v>0.60416666666666663</v>
      </c>
      <c r="F88" s="29">
        <v>0.91319444444444453</v>
      </c>
      <c r="G88" s="28">
        <v>103.88497942386834</v>
      </c>
      <c r="H88" s="28">
        <v>97.981818181818156</v>
      </c>
      <c r="I88" s="30" t="s">
        <v>14</v>
      </c>
      <c r="J88" t="s">
        <v>10</v>
      </c>
      <c r="K88">
        <f t="shared" si="6"/>
        <v>201.86679760568649</v>
      </c>
      <c r="L88" s="4">
        <f t="shared" si="7"/>
        <v>121</v>
      </c>
      <c r="M88" s="4">
        <f t="shared" si="8"/>
        <v>566</v>
      </c>
      <c r="N88" s="4">
        <f t="shared" si="9"/>
        <v>631</v>
      </c>
      <c r="O88" s="4">
        <f t="shared" si="10"/>
        <v>1076.0000000000002</v>
      </c>
      <c r="Q88" s="57">
        <v>0.46527777777777901</v>
      </c>
      <c r="R88">
        <v>87</v>
      </c>
    </row>
    <row r="89" spans="1:18" x14ac:dyDescent="0.25">
      <c r="A89">
        <v>87</v>
      </c>
      <c r="B89" s="28">
        <v>88</v>
      </c>
      <c r="C89" s="29">
        <v>0.27777777777777779</v>
      </c>
      <c r="D89" s="29">
        <v>0.58680555555555558</v>
      </c>
      <c r="E89" s="29">
        <v>0.63194444444444442</v>
      </c>
      <c r="F89" s="29">
        <v>0.94097222222222221</v>
      </c>
      <c r="G89" s="28">
        <v>103.88497942386834</v>
      </c>
      <c r="H89" s="28">
        <v>97.981818181818156</v>
      </c>
      <c r="I89" s="30" t="s">
        <v>14</v>
      </c>
      <c r="J89" t="s">
        <v>10</v>
      </c>
      <c r="K89">
        <f t="shared" si="6"/>
        <v>201.86679760568649</v>
      </c>
      <c r="L89" s="4">
        <f t="shared" si="7"/>
        <v>161</v>
      </c>
      <c r="M89" s="4">
        <f t="shared" si="8"/>
        <v>606</v>
      </c>
      <c r="N89" s="4">
        <f t="shared" si="9"/>
        <v>671</v>
      </c>
      <c r="O89" s="4">
        <f t="shared" si="10"/>
        <v>1116</v>
      </c>
      <c r="Q89" s="57">
        <v>0.468750000000002</v>
      </c>
      <c r="R89">
        <v>88</v>
      </c>
    </row>
    <row r="90" spans="1:18" x14ac:dyDescent="0.25">
      <c r="A90">
        <v>88</v>
      </c>
      <c r="B90" s="28">
        <v>89</v>
      </c>
      <c r="C90" s="29">
        <v>0.30555555555555558</v>
      </c>
      <c r="D90" s="29">
        <v>0.61458333333333337</v>
      </c>
      <c r="E90" s="29">
        <v>0.65972222222222221</v>
      </c>
      <c r="F90" s="29">
        <v>0.96875</v>
      </c>
      <c r="G90" s="28">
        <v>103.88497942386834</v>
      </c>
      <c r="H90" s="28">
        <v>97.981818181818156</v>
      </c>
      <c r="I90" s="30" t="s">
        <v>14</v>
      </c>
      <c r="J90" t="s">
        <v>10</v>
      </c>
      <c r="K90">
        <f t="shared" si="6"/>
        <v>201.86679760568649</v>
      </c>
      <c r="L90" s="4">
        <f t="shared" si="7"/>
        <v>201.00000000000006</v>
      </c>
      <c r="M90" s="4">
        <f t="shared" si="8"/>
        <v>646</v>
      </c>
      <c r="N90" s="4">
        <f t="shared" si="9"/>
        <v>711</v>
      </c>
      <c r="O90" s="4">
        <f t="shared" si="10"/>
        <v>1156</v>
      </c>
      <c r="Q90" s="57">
        <v>0.47222222222222399</v>
      </c>
      <c r="R90">
        <v>89</v>
      </c>
    </row>
    <row r="91" spans="1:18" x14ac:dyDescent="0.25">
      <c r="A91">
        <v>89</v>
      </c>
      <c r="B91" s="28">
        <v>90</v>
      </c>
      <c r="C91" s="29">
        <v>0.36111111111111116</v>
      </c>
      <c r="D91" s="29">
        <v>0.67013888888888895</v>
      </c>
      <c r="E91" s="29">
        <v>0.71527777777777768</v>
      </c>
      <c r="F91" s="29">
        <v>2.4305555555555556E-2</v>
      </c>
      <c r="G91" s="28">
        <v>103.88497942386834</v>
      </c>
      <c r="H91" s="28">
        <v>97.981818181818156</v>
      </c>
      <c r="I91" s="30" t="s">
        <v>14</v>
      </c>
      <c r="J91" t="s">
        <v>10</v>
      </c>
      <c r="K91">
        <f t="shared" si="6"/>
        <v>201.86679760568649</v>
      </c>
      <c r="L91" s="4">
        <f t="shared" si="7"/>
        <v>281.00000000000011</v>
      </c>
      <c r="M91" s="4">
        <f t="shared" si="8"/>
        <v>726.00000000000011</v>
      </c>
      <c r="N91" s="4">
        <f t="shared" si="9"/>
        <v>790.99999999999977</v>
      </c>
      <c r="O91" s="4">
        <f>1440+CONVERT(F91,"day","mn")-239</f>
        <v>1236</v>
      </c>
      <c r="Q91" s="57">
        <v>0.47569444444444597</v>
      </c>
      <c r="R91">
        <v>90</v>
      </c>
    </row>
    <row r="92" spans="1:18" x14ac:dyDescent="0.25">
      <c r="A92">
        <v>90</v>
      </c>
      <c r="B92" s="31">
        <v>91</v>
      </c>
      <c r="C92" s="32">
        <v>0.22222222222222224</v>
      </c>
      <c r="D92" s="32">
        <v>0.54513888888888895</v>
      </c>
      <c r="E92" s="32">
        <v>0.59374999999999989</v>
      </c>
      <c r="F92" s="32">
        <v>0.91666666666666663</v>
      </c>
      <c r="G92" s="31">
        <v>114.25521810699603</v>
      </c>
      <c r="H92" s="31">
        <v>104.90652892561992</v>
      </c>
      <c r="I92" s="33" t="s">
        <v>15</v>
      </c>
      <c r="J92" t="s">
        <v>10</v>
      </c>
      <c r="K92">
        <f t="shared" si="6"/>
        <v>219.16174703261595</v>
      </c>
      <c r="L92" s="4">
        <f t="shared" si="7"/>
        <v>81</v>
      </c>
      <c r="M92" s="4">
        <f t="shared" si="8"/>
        <v>546.00000000000011</v>
      </c>
      <c r="N92" s="4">
        <f t="shared" si="9"/>
        <v>615.99999999999989</v>
      </c>
      <c r="O92" s="4">
        <f t="shared" si="10"/>
        <v>1081</v>
      </c>
      <c r="Q92" s="57">
        <v>0.47916666666666802</v>
      </c>
      <c r="R92">
        <v>91</v>
      </c>
    </row>
    <row r="93" spans="1:18" x14ac:dyDescent="0.25">
      <c r="A93">
        <v>91</v>
      </c>
      <c r="B93" s="31">
        <v>92</v>
      </c>
      <c r="C93" s="32">
        <v>0.24305555555555555</v>
      </c>
      <c r="D93" s="32">
        <v>0.5625</v>
      </c>
      <c r="E93" s="32">
        <v>0.61111111111111105</v>
      </c>
      <c r="F93" s="32">
        <v>0.93402777777777779</v>
      </c>
      <c r="G93" s="31">
        <v>114.25521810699603</v>
      </c>
      <c r="H93" s="31">
        <v>104.90652892561992</v>
      </c>
      <c r="I93" s="33" t="s">
        <v>15</v>
      </c>
      <c r="J93" t="s">
        <v>10</v>
      </c>
      <c r="K93">
        <f t="shared" si="6"/>
        <v>219.16174703261595</v>
      </c>
      <c r="L93" s="4">
        <f t="shared" si="7"/>
        <v>111</v>
      </c>
      <c r="M93" s="4">
        <f t="shared" si="8"/>
        <v>571</v>
      </c>
      <c r="N93" s="4">
        <f t="shared" si="9"/>
        <v>640.99999999999989</v>
      </c>
      <c r="O93" s="4">
        <f t="shared" si="10"/>
        <v>1106</v>
      </c>
      <c r="Q93" s="57">
        <v>0.482638888888891</v>
      </c>
      <c r="R93">
        <v>92</v>
      </c>
    </row>
    <row r="94" spans="1:18" x14ac:dyDescent="0.25">
      <c r="A94">
        <v>92</v>
      </c>
      <c r="B94" s="31">
        <v>93</v>
      </c>
      <c r="C94" s="32">
        <v>0.2638888888888889</v>
      </c>
      <c r="D94" s="32">
        <v>0.58680555555555558</v>
      </c>
      <c r="E94" s="32">
        <v>0.63541666666666663</v>
      </c>
      <c r="F94" s="32">
        <v>0.95833333333333337</v>
      </c>
      <c r="G94" s="31">
        <v>114.25521810699603</v>
      </c>
      <c r="H94" s="31">
        <v>104.90652892561992</v>
      </c>
      <c r="I94" s="33" t="s">
        <v>15</v>
      </c>
      <c r="J94" t="s">
        <v>10</v>
      </c>
      <c r="K94">
        <f t="shared" si="6"/>
        <v>219.16174703261595</v>
      </c>
      <c r="L94" s="4">
        <f t="shared" si="7"/>
        <v>141</v>
      </c>
      <c r="M94" s="4">
        <f t="shared" si="8"/>
        <v>606</v>
      </c>
      <c r="N94" s="4">
        <f t="shared" si="9"/>
        <v>676</v>
      </c>
      <c r="O94" s="4">
        <f t="shared" si="10"/>
        <v>1141</v>
      </c>
      <c r="Q94" s="57">
        <v>0.48611111111111299</v>
      </c>
      <c r="R94">
        <v>93</v>
      </c>
    </row>
    <row r="95" spans="1:18" x14ac:dyDescent="0.25">
      <c r="A95">
        <v>93</v>
      </c>
      <c r="B95" s="31">
        <v>94</v>
      </c>
      <c r="C95" s="32">
        <v>0.28472222222222221</v>
      </c>
      <c r="D95" s="32">
        <v>0.60763888888888895</v>
      </c>
      <c r="E95" s="32">
        <v>0.67013888888888884</v>
      </c>
      <c r="F95" s="32">
        <v>0.99305555555555547</v>
      </c>
      <c r="G95" s="31">
        <v>114.25521810699603</v>
      </c>
      <c r="H95" s="31">
        <v>104.90652892561992</v>
      </c>
      <c r="I95" s="33" t="s">
        <v>15</v>
      </c>
      <c r="J95" t="s">
        <v>10</v>
      </c>
      <c r="K95">
        <f t="shared" si="6"/>
        <v>219.16174703261595</v>
      </c>
      <c r="L95" s="4">
        <f t="shared" si="7"/>
        <v>171</v>
      </c>
      <c r="M95" s="4">
        <f t="shared" si="8"/>
        <v>636.00000000000011</v>
      </c>
      <c r="N95" s="4">
        <f t="shared" si="9"/>
        <v>725.99999999999989</v>
      </c>
      <c r="O95" s="4">
        <f t="shared" si="10"/>
        <v>1190.9999999999998</v>
      </c>
      <c r="Q95" s="57">
        <v>0.48958333333333498</v>
      </c>
      <c r="R95">
        <v>94</v>
      </c>
    </row>
    <row r="96" spans="1:18" x14ac:dyDescent="0.25">
      <c r="A96">
        <v>94</v>
      </c>
      <c r="B96" s="31">
        <v>95</v>
      </c>
      <c r="C96" s="32">
        <v>0.30555555555555558</v>
      </c>
      <c r="D96" s="32">
        <v>0.62847222222222221</v>
      </c>
      <c r="E96" s="32">
        <v>0.67708333333333326</v>
      </c>
      <c r="F96" s="32">
        <v>0</v>
      </c>
      <c r="G96" s="31">
        <v>114.25521810699603</v>
      </c>
      <c r="H96" s="31">
        <v>104.90652892561992</v>
      </c>
      <c r="I96" s="33" t="s">
        <v>15</v>
      </c>
      <c r="J96" t="s">
        <v>10</v>
      </c>
      <c r="K96">
        <f t="shared" si="6"/>
        <v>219.16174703261595</v>
      </c>
      <c r="L96" s="4">
        <f t="shared" si="7"/>
        <v>201.00000000000006</v>
      </c>
      <c r="M96" s="4">
        <f t="shared" si="8"/>
        <v>666</v>
      </c>
      <c r="N96" s="4">
        <f t="shared" si="9"/>
        <v>735.99999999999989</v>
      </c>
      <c r="O96" s="4">
        <f>1440+CONVERT(F96,"day","mn")-239</f>
        <v>1201</v>
      </c>
      <c r="Q96" s="57">
        <v>0.49305555555555702</v>
      </c>
      <c r="R96">
        <v>95</v>
      </c>
    </row>
    <row r="97" spans="1:18" x14ac:dyDescent="0.25">
      <c r="A97">
        <v>95</v>
      </c>
      <c r="B97" s="34">
        <v>96</v>
      </c>
      <c r="C97" s="35">
        <v>0.80555555555555547</v>
      </c>
      <c r="D97" s="35">
        <v>0.13194444444444445</v>
      </c>
      <c r="E97" s="35"/>
      <c r="F97" s="35"/>
      <c r="G97" s="34">
        <v>269.49836729999998</v>
      </c>
      <c r="H97" s="34">
        <v>0</v>
      </c>
      <c r="I97" s="36" t="s">
        <v>16</v>
      </c>
      <c r="J97" t="s">
        <v>10</v>
      </c>
      <c r="K97">
        <f t="shared" si="6"/>
        <v>269.49836729999998</v>
      </c>
      <c r="L97" s="4">
        <f t="shared" si="7"/>
        <v>920.99999999999977</v>
      </c>
      <c r="M97" s="4">
        <f>1440+CONVERT(D97,"day","mn")-239</f>
        <v>1391</v>
      </c>
      <c r="N97" s="4">
        <v>0</v>
      </c>
      <c r="O97" s="4">
        <v>0</v>
      </c>
      <c r="Q97" s="57">
        <v>0.49652777777778001</v>
      </c>
      <c r="R97">
        <v>96</v>
      </c>
    </row>
    <row r="98" spans="1:18" x14ac:dyDescent="0.25">
      <c r="A98">
        <v>96</v>
      </c>
      <c r="B98" s="37">
        <v>97</v>
      </c>
      <c r="C98" s="38">
        <v>0.86111111111111116</v>
      </c>
      <c r="D98" s="38">
        <v>0.1875</v>
      </c>
      <c r="E98" s="38"/>
      <c r="F98" s="38"/>
      <c r="G98" s="37">
        <v>281.4936210131317</v>
      </c>
      <c r="H98" s="37">
        <v>0</v>
      </c>
      <c r="I98" s="39" t="s">
        <v>17</v>
      </c>
      <c r="J98" t="s">
        <v>10</v>
      </c>
      <c r="K98">
        <f t="shared" si="6"/>
        <v>281.4936210131317</v>
      </c>
      <c r="L98" s="4">
        <f t="shared" si="7"/>
        <v>1001</v>
      </c>
      <c r="M98" s="4">
        <f t="shared" si="8"/>
        <v>31</v>
      </c>
      <c r="N98" s="4">
        <v>0</v>
      </c>
      <c r="O98" s="4">
        <v>0</v>
      </c>
      <c r="Q98" s="57">
        <v>0.500000000000002</v>
      </c>
      <c r="R98">
        <v>97</v>
      </c>
    </row>
    <row r="99" spans="1:18" x14ac:dyDescent="0.25">
      <c r="A99">
        <v>97</v>
      </c>
      <c r="B99" s="37">
        <v>98</v>
      </c>
      <c r="C99" s="38">
        <v>0.90277777777777779</v>
      </c>
      <c r="D99" s="38">
        <v>0.22916666666666666</v>
      </c>
      <c r="E99" s="38"/>
      <c r="F99" s="38"/>
      <c r="G99" s="37">
        <v>281.4936210131317</v>
      </c>
      <c r="H99" s="37">
        <v>0</v>
      </c>
      <c r="I99" s="39" t="s">
        <v>17</v>
      </c>
      <c r="J99" t="s">
        <v>10</v>
      </c>
      <c r="K99">
        <f t="shared" si="6"/>
        <v>281.4936210131317</v>
      </c>
      <c r="L99" s="4">
        <f t="shared" si="7"/>
        <v>1061</v>
      </c>
      <c r="M99" s="4">
        <f t="shared" si="8"/>
        <v>91</v>
      </c>
      <c r="N99" s="4">
        <v>0</v>
      </c>
      <c r="O99" s="4">
        <v>0</v>
      </c>
      <c r="Q99" s="57">
        <v>0.50347222222222399</v>
      </c>
      <c r="R99">
        <v>98</v>
      </c>
    </row>
    <row r="100" spans="1:18" x14ac:dyDescent="0.25">
      <c r="A100">
        <v>98</v>
      </c>
      <c r="B100" s="37">
        <v>99</v>
      </c>
      <c r="C100" s="38">
        <v>0.94444444444444453</v>
      </c>
      <c r="D100" s="38">
        <v>0.27083333333333331</v>
      </c>
      <c r="E100" s="38"/>
      <c r="F100" s="38"/>
      <c r="G100" s="37">
        <v>281.4936210131317</v>
      </c>
      <c r="H100" s="37">
        <v>0</v>
      </c>
      <c r="I100" s="39" t="s">
        <v>17</v>
      </c>
      <c r="J100" t="s">
        <v>10</v>
      </c>
      <c r="K100">
        <f t="shared" si="6"/>
        <v>281.4936210131317</v>
      </c>
      <c r="L100" s="4">
        <f t="shared" si="7"/>
        <v>1121.0000000000002</v>
      </c>
      <c r="M100" s="4">
        <f t="shared" si="8"/>
        <v>151</v>
      </c>
      <c r="N100" s="4">
        <v>0</v>
      </c>
      <c r="O100" s="4">
        <v>0</v>
      </c>
      <c r="Q100" s="57">
        <v>0.50694444444444597</v>
      </c>
      <c r="R100">
        <v>99</v>
      </c>
    </row>
    <row r="101" spans="1:18" x14ac:dyDescent="0.25">
      <c r="A101">
        <v>99</v>
      </c>
      <c r="B101" s="40">
        <v>100</v>
      </c>
      <c r="C101" s="41">
        <v>0.89583333333333337</v>
      </c>
      <c r="D101" s="41">
        <v>0.20833333333333334</v>
      </c>
      <c r="E101" s="41"/>
      <c r="F101" s="41"/>
      <c r="G101" s="40">
        <v>263.77589118198807</v>
      </c>
      <c r="H101" s="40">
        <v>0</v>
      </c>
      <c r="I101" s="42" t="s">
        <v>18</v>
      </c>
      <c r="J101" t="s">
        <v>10</v>
      </c>
      <c r="K101">
        <f t="shared" si="6"/>
        <v>263.77589118198807</v>
      </c>
      <c r="L101" s="4">
        <f t="shared" si="7"/>
        <v>1051</v>
      </c>
      <c r="M101" s="4">
        <f t="shared" si="8"/>
        <v>61</v>
      </c>
      <c r="N101" s="4">
        <v>0</v>
      </c>
      <c r="O101" s="4">
        <v>0</v>
      </c>
      <c r="Q101" s="57">
        <v>0.51041666666666896</v>
      </c>
      <c r="R101">
        <v>100</v>
      </c>
    </row>
    <row r="102" spans="1:18" x14ac:dyDescent="0.25">
      <c r="A102">
        <v>100</v>
      </c>
      <c r="B102" s="40">
        <v>101</v>
      </c>
      <c r="C102" s="41">
        <v>0.9375</v>
      </c>
      <c r="D102" s="41">
        <v>0.25</v>
      </c>
      <c r="E102" s="41"/>
      <c r="F102" s="41"/>
      <c r="G102" s="40">
        <v>263.77589118198807</v>
      </c>
      <c r="H102" s="40">
        <v>0</v>
      </c>
      <c r="I102" s="42" t="s">
        <v>18</v>
      </c>
      <c r="J102" t="s">
        <v>10</v>
      </c>
      <c r="K102">
        <f t="shared" si="6"/>
        <v>263.77589118198807</v>
      </c>
      <c r="L102" s="4">
        <f t="shared" si="7"/>
        <v>1111</v>
      </c>
      <c r="M102" s="4">
        <f t="shared" si="8"/>
        <v>121</v>
      </c>
      <c r="N102" s="4">
        <v>0</v>
      </c>
      <c r="O102" s="4">
        <v>0</v>
      </c>
      <c r="Q102" s="57">
        <v>0.51388888888889095</v>
      </c>
      <c r="R102">
        <v>101</v>
      </c>
    </row>
    <row r="103" spans="1:18" x14ac:dyDescent="0.25">
      <c r="B103" s="40"/>
      <c r="C103" s="40"/>
      <c r="D103" s="40"/>
      <c r="E103" s="40"/>
      <c r="F103" s="40"/>
      <c r="G103" s="40"/>
      <c r="H103" s="40"/>
      <c r="I103" s="40"/>
      <c r="Q103" s="57">
        <v>0.51736111111111305</v>
      </c>
      <c r="R103">
        <v>102</v>
      </c>
    </row>
    <row r="104" spans="1:18" x14ac:dyDescent="0.25">
      <c r="Q104" s="57">
        <v>0.52083333333333504</v>
      </c>
      <c r="R104">
        <v>103</v>
      </c>
    </row>
    <row r="105" spans="1:18" x14ac:dyDescent="0.25">
      <c r="Q105" s="57">
        <v>0.52430555555555802</v>
      </c>
      <c r="R105">
        <v>104</v>
      </c>
    </row>
    <row r="106" spans="1:18" x14ac:dyDescent="0.25">
      <c r="Q106" s="57">
        <v>0.52777777777778001</v>
      </c>
      <c r="R106">
        <v>105</v>
      </c>
    </row>
    <row r="107" spans="1:18" x14ac:dyDescent="0.25">
      <c r="Q107" s="57">
        <v>0.531250000000002</v>
      </c>
      <c r="R107">
        <v>106</v>
      </c>
    </row>
    <row r="108" spans="1:18" x14ac:dyDescent="0.25">
      <c r="Q108" s="57">
        <v>0.53472222222222399</v>
      </c>
      <c r="R108">
        <v>107</v>
      </c>
    </row>
    <row r="109" spans="1:18" x14ac:dyDescent="0.25">
      <c r="Q109" s="57">
        <v>0.53819444444444597</v>
      </c>
      <c r="R109">
        <v>108</v>
      </c>
    </row>
    <row r="110" spans="1:18" x14ac:dyDescent="0.25">
      <c r="Q110" s="57">
        <v>0.54166666666666896</v>
      </c>
      <c r="R110">
        <v>109</v>
      </c>
    </row>
    <row r="111" spans="1:18" x14ac:dyDescent="0.25">
      <c r="Q111" s="57">
        <v>0.54513888888889095</v>
      </c>
      <c r="R111">
        <v>110</v>
      </c>
    </row>
    <row r="112" spans="1:18" x14ac:dyDescent="0.25">
      <c r="Q112" s="57">
        <v>0.54861111111111305</v>
      </c>
      <c r="R112">
        <v>111</v>
      </c>
    </row>
    <row r="113" spans="17:18" x14ac:dyDescent="0.25">
      <c r="Q113" s="57">
        <v>0.55208333333333504</v>
      </c>
      <c r="R113">
        <v>112</v>
      </c>
    </row>
    <row r="114" spans="17:18" x14ac:dyDescent="0.25">
      <c r="Q114" s="57">
        <v>0.55555555555555802</v>
      </c>
      <c r="R114">
        <v>113</v>
      </c>
    </row>
    <row r="115" spans="17:18" x14ac:dyDescent="0.25">
      <c r="Q115" s="57">
        <v>0.55902777777778001</v>
      </c>
      <c r="R115">
        <v>114</v>
      </c>
    </row>
    <row r="116" spans="17:18" x14ac:dyDescent="0.25">
      <c r="Q116" s="57">
        <v>0.562500000000002</v>
      </c>
      <c r="R116">
        <v>115</v>
      </c>
    </row>
    <row r="117" spans="17:18" x14ac:dyDescent="0.25">
      <c r="Q117" s="57">
        <v>0.56597222222222399</v>
      </c>
      <c r="R117">
        <v>116</v>
      </c>
    </row>
    <row r="118" spans="17:18" x14ac:dyDescent="0.25">
      <c r="Q118" s="57">
        <v>0.56944444444444697</v>
      </c>
      <c r="R118">
        <v>117</v>
      </c>
    </row>
    <row r="119" spans="17:18" x14ac:dyDescent="0.25">
      <c r="Q119" s="57">
        <v>0.57291666666666896</v>
      </c>
      <c r="R119">
        <v>118</v>
      </c>
    </row>
    <row r="120" spans="17:18" x14ac:dyDescent="0.25">
      <c r="Q120" s="57">
        <v>0.57638888888889095</v>
      </c>
      <c r="R120">
        <v>119</v>
      </c>
    </row>
    <row r="121" spans="17:18" x14ac:dyDescent="0.25">
      <c r="Q121" s="57">
        <v>0.57986111111111305</v>
      </c>
      <c r="R121">
        <v>120</v>
      </c>
    </row>
    <row r="122" spans="17:18" x14ac:dyDescent="0.25">
      <c r="Q122" s="57">
        <v>0.58333333333333603</v>
      </c>
      <c r="R122">
        <v>121</v>
      </c>
    </row>
    <row r="123" spans="17:18" x14ac:dyDescent="0.25">
      <c r="Q123" s="57">
        <v>0.58680555555555802</v>
      </c>
      <c r="R123">
        <v>122</v>
      </c>
    </row>
    <row r="124" spans="17:18" x14ac:dyDescent="0.25">
      <c r="Q124" s="57">
        <v>0.59027777777778001</v>
      </c>
      <c r="R124">
        <v>123</v>
      </c>
    </row>
    <row r="125" spans="17:18" x14ac:dyDescent="0.25">
      <c r="Q125" s="57">
        <v>0.593750000000002</v>
      </c>
      <c r="R125">
        <v>124</v>
      </c>
    </row>
    <row r="126" spans="17:18" x14ac:dyDescent="0.25">
      <c r="Q126" s="57">
        <v>0.59722222222222399</v>
      </c>
      <c r="R126">
        <v>125</v>
      </c>
    </row>
    <row r="127" spans="17:18" x14ac:dyDescent="0.25">
      <c r="Q127" s="57">
        <v>0.60069444444444697</v>
      </c>
      <c r="R127">
        <v>126</v>
      </c>
    </row>
    <row r="128" spans="17:18" x14ac:dyDescent="0.25">
      <c r="Q128" s="57">
        <v>0.60416666666666896</v>
      </c>
      <c r="R128">
        <v>127</v>
      </c>
    </row>
    <row r="129" spans="17:18" x14ac:dyDescent="0.25">
      <c r="Q129" s="57">
        <v>0.60763888888889095</v>
      </c>
      <c r="R129">
        <v>128</v>
      </c>
    </row>
    <row r="130" spans="17:18" x14ac:dyDescent="0.25">
      <c r="Q130" s="57">
        <v>0.61111111111111305</v>
      </c>
      <c r="R130">
        <v>129</v>
      </c>
    </row>
    <row r="131" spans="17:18" x14ac:dyDescent="0.25">
      <c r="Q131" s="57">
        <v>0.61458333333333603</v>
      </c>
      <c r="R131">
        <v>130</v>
      </c>
    </row>
    <row r="132" spans="17:18" x14ac:dyDescent="0.25">
      <c r="Q132" s="57">
        <v>0.61805555555555802</v>
      </c>
      <c r="R132">
        <v>131</v>
      </c>
    </row>
    <row r="133" spans="17:18" x14ac:dyDescent="0.25">
      <c r="Q133" s="57">
        <v>0.62152777777778001</v>
      </c>
      <c r="R133">
        <v>132</v>
      </c>
    </row>
    <row r="134" spans="17:18" x14ac:dyDescent="0.25">
      <c r="Q134" s="57">
        <v>0.625000000000002</v>
      </c>
      <c r="R134">
        <v>133</v>
      </c>
    </row>
    <row r="135" spans="17:18" x14ac:dyDescent="0.25">
      <c r="Q135" s="57">
        <v>0.62847222222222499</v>
      </c>
      <c r="R135">
        <v>134</v>
      </c>
    </row>
    <row r="136" spans="17:18" x14ac:dyDescent="0.25">
      <c r="Q136" s="57">
        <v>0.63194444444444697</v>
      </c>
      <c r="R136">
        <v>135</v>
      </c>
    </row>
    <row r="137" spans="17:18" x14ac:dyDescent="0.25">
      <c r="Q137" s="57">
        <v>0.63541666666666896</v>
      </c>
      <c r="R137">
        <v>136</v>
      </c>
    </row>
    <row r="138" spans="17:18" x14ac:dyDescent="0.25">
      <c r="Q138" s="57">
        <v>0.63888888888889095</v>
      </c>
      <c r="R138">
        <v>137</v>
      </c>
    </row>
    <row r="139" spans="17:18" x14ac:dyDescent="0.25">
      <c r="Q139" s="57">
        <v>0.64236111111111405</v>
      </c>
      <c r="R139">
        <v>138</v>
      </c>
    </row>
    <row r="140" spans="17:18" x14ac:dyDescent="0.25">
      <c r="Q140" s="57">
        <v>0.64583333333333603</v>
      </c>
      <c r="R140">
        <v>139</v>
      </c>
    </row>
    <row r="141" spans="17:18" x14ac:dyDescent="0.25">
      <c r="Q141" s="57">
        <v>0.64930555555555802</v>
      </c>
      <c r="R141">
        <v>140</v>
      </c>
    </row>
    <row r="142" spans="17:18" x14ac:dyDescent="0.25">
      <c r="Q142" s="57">
        <v>0.65277777777778001</v>
      </c>
      <c r="R142">
        <v>141</v>
      </c>
    </row>
    <row r="143" spans="17:18" x14ac:dyDescent="0.25">
      <c r="Q143" s="57">
        <v>0.656250000000002</v>
      </c>
      <c r="R143">
        <v>142</v>
      </c>
    </row>
    <row r="144" spans="17:18" x14ac:dyDescent="0.25">
      <c r="Q144" s="57">
        <v>0.65972222222222499</v>
      </c>
      <c r="R144">
        <v>143</v>
      </c>
    </row>
    <row r="145" spans="17:18" x14ac:dyDescent="0.25">
      <c r="Q145" s="57">
        <v>0.66319444444444697</v>
      </c>
      <c r="R145">
        <v>144</v>
      </c>
    </row>
    <row r="146" spans="17:18" x14ac:dyDescent="0.25">
      <c r="Q146" s="57">
        <v>0.66666666666666896</v>
      </c>
      <c r="R146">
        <v>145</v>
      </c>
    </row>
    <row r="147" spans="17:18" x14ac:dyDescent="0.25">
      <c r="Q147" s="57">
        <v>0.67013888888889095</v>
      </c>
      <c r="R147">
        <v>146</v>
      </c>
    </row>
    <row r="148" spans="17:18" x14ac:dyDescent="0.25">
      <c r="Q148" s="57">
        <v>0.67361111111111405</v>
      </c>
      <c r="R148">
        <v>147</v>
      </c>
    </row>
    <row r="149" spans="17:18" x14ac:dyDescent="0.25">
      <c r="Q149" s="57">
        <v>0.67708333333333603</v>
      </c>
      <c r="R149">
        <v>148</v>
      </c>
    </row>
    <row r="150" spans="17:18" x14ac:dyDescent="0.25">
      <c r="Q150" s="57">
        <v>0.68055555555555802</v>
      </c>
      <c r="R150">
        <v>149</v>
      </c>
    </row>
    <row r="151" spans="17:18" x14ac:dyDescent="0.25">
      <c r="Q151" s="57">
        <v>0.68402777777778001</v>
      </c>
      <c r="R151">
        <v>150</v>
      </c>
    </row>
    <row r="152" spans="17:18" x14ac:dyDescent="0.25">
      <c r="Q152" s="57">
        <v>0.687500000000003</v>
      </c>
      <c r="R152">
        <v>151</v>
      </c>
    </row>
    <row r="153" spans="17:18" x14ac:dyDescent="0.25">
      <c r="Q153" s="57">
        <v>0.69097222222222499</v>
      </c>
      <c r="R153">
        <v>152</v>
      </c>
    </row>
    <row r="154" spans="17:18" x14ac:dyDescent="0.25">
      <c r="Q154" s="57">
        <v>0.69444444444444697</v>
      </c>
      <c r="R154">
        <v>153</v>
      </c>
    </row>
    <row r="155" spans="17:18" x14ac:dyDescent="0.25">
      <c r="Q155" s="57">
        <v>0.69791666666666896</v>
      </c>
      <c r="R155">
        <v>154</v>
      </c>
    </row>
    <row r="156" spans="17:18" x14ac:dyDescent="0.25">
      <c r="Q156" s="57">
        <v>0.70138888888889195</v>
      </c>
      <c r="R156">
        <v>155</v>
      </c>
    </row>
    <row r="157" spans="17:18" x14ac:dyDescent="0.25">
      <c r="Q157" s="57">
        <v>0.70486111111111405</v>
      </c>
      <c r="R157">
        <v>156</v>
      </c>
    </row>
    <row r="158" spans="17:18" x14ac:dyDescent="0.25">
      <c r="Q158" s="57">
        <v>0.70833333333333603</v>
      </c>
      <c r="R158">
        <v>157</v>
      </c>
    </row>
    <row r="159" spans="17:18" x14ac:dyDescent="0.25">
      <c r="Q159" s="57">
        <v>0.71180555555555802</v>
      </c>
      <c r="R159">
        <v>158</v>
      </c>
    </row>
    <row r="160" spans="17:18" x14ac:dyDescent="0.25">
      <c r="Q160" s="57">
        <v>0.71527777777778101</v>
      </c>
      <c r="R160">
        <v>159</v>
      </c>
    </row>
    <row r="161" spans="17:18" x14ac:dyDescent="0.25">
      <c r="Q161" s="57">
        <v>0.718750000000003</v>
      </c>
      <c r="R161">
        <v>160</v>
      </c>
    </row>
    <row r="162" spans="17:18" x14ac:dyDescent="0.25">
      <c r="Q162" s="57">
        <v>0.72222222222222499</v>
      </c>
      <c r="R162">
        <v>161</v>
      </c>
    </row>
    <row r="163" spans="17:18" x14ac:dyDescent="0.25">
      <c r="Q163" s="57">
        <v>0.72569444444444697</v>
      </c>
      <c r="R163">
        <v>162</v>
      </c>
    </row>
    <row r="164" spans="17:18" x14ac:dyDescent="0.25">
      <c r="Q164" s="57">
        <v>0.72916666666666896</v>
      </c>
      <c r="R164">
        <v>163</v>
      </c>
    </row>
    <row r="165" spans="17:18" x14ac:dyDescent="0.25">
      <c r="Q165" s="57">
        <v>0.73263888888889195</v>
      </c>
      <c r="R165">
        <v>164</v>
      </c>
    </row>
    <row r="166" spans="17:18" x14ac:dyDescent="0.25">
      <c r="Q166" s="57">
        <v>0.73611111111111405</v>
      </c>
      <c r="R166">
        <v>165</v>
      </c>
    </row>
    <row r="167" spans="17:18" x14ac:dyDescent="0.25">
      <c r="Q167" s="57">
        <v>0.73958333333333603</v>
      </c>
      <c r="R167">
        <v>166</v>
      </c>
    </row>
    <row r="168" spans="17:18" x14ac:dyDescent="0.25">
      <c r="Q168" s="57">
        <v>0.74305555555555902</v>
      </c>
      <c r="R168">
        <v>167</v>
      </c>
    </row>
    <row r="169" spans="17:18" x14ac:dyDescent="0.25">
      <c r="Q169" s="57">
        <v>0.74652777777778101</v>
      </c>
      <c r="R169">
        <v>168</v>
      </c>
    </row>
    <row r="170" spans="17:18" x14ac:dyDescent="0.25">
      <c r="Q170" s="57">
        <v>0.750000000000003</v>
      </c>
      <c r="R170">
        <v>169</v>
      </c>
    </row>
    <row r="171" spans="17:18" x14ac:dyDescent="0.25">
      <c r="Q171" s="57">
        <v>0.75347222222222499</v>
      </c>
      <c r="R171">
        <v>170</v>
      </c>
    </row>
    <row r="172" spans="17:18" x14ac:dyDescent="0.25">
      <c r="Q172" s="57">
        <v>0.75694444444444697</v>
      </c>
      <c r="R172">
        <v>171</v>
      </c>
    </row>
    <row r="173" spans="17:18" x14ac:dyDescent="0.25">
      <c r="Q173" s="57">
        <v>0.76041666666666996</v>
      </c>
      <c r="R173">
        <v>172</v>
      </c>
    </row>
    <row r="174" spans="17:18" x14ac:dyDescent="0.25">
      <c r="Q174" s="57">
        <v>0.76388888888889195</v>
      </c>
      <c r="R174">
        <v>173</v>
      </c>
    </row>
    <row r="175" spans="17:18" x14ac:dyDescent="0.25">
      <c r="Q175" s="57">
        <v>0.76736111111111405</v>
      </c>
      <c r="R175">
        <v>174</v>
      </c>
    </row>
    <row r="176" spans="17:18" x14ac:dyDescent="0.25">
      <c r="Q176" s="57">
        <v>0.77083333333333603</v>
      </c>
      <c r="R176">
        <v>175</v>
      </c>
    </row>
    <row r="177" spans="17:18" x14ac:dyDescent="0.25">
      <c r="Q177" s="57">
        <v>0.77430555555555902</v>
      </c>
      <c r="R177">
        <v>176</v>
      </c>
    </row>
    <row r="178" spans="17:18" x14ac:dyDescent="0.25">
      <c r="Q178" s="57">
        <v>0.77777777777778101</v>
      </c>
      <c r="R178">
        <v>177</v>
      </c>
    </row>
    <row r="179" spans="17:18" x14ac:dyDescent="0.25">
      <c r="Q179" s="57">
        <v>0.781250000000003</v>
      </c>
      <c r="R179">
        <v>178</v>
      </c>
    </row>
    <row r="180" spans="17:18" x14ac:dyDescent="0.25">
      <c r="Q180" s="57">
        <v>0.78472222222222499</v>
      </c>
      <c r="R180">
        <v>179</v>
      </c>
    </row>
    <row r="181" spans="17:18" x14ac:dyDescent="0.25">
      <c r="Q181" s="57">
        <v>0.78819444444444797</v>
      </c>
      <c r="R181">
        <v>180</v>
      </c>
    </row>
    <row r="182" spans="17:18" x14ac:dyDescent="0.25">
      <c r="Q182" s="57">
        <v>0.79166666666666996</v>
      </c>
      <c r="R182">
        <v>181</v>
      </c>
    </row>
    <row r="183" spans="17:18" x14ac:dyDescent="0.25">
      <c r="Q183" s="57">
        <v>0.79513888888889195</v>
      </c>
      <c r="R183">
        <v>182</v>
      </c>
    </row>
    <row r="184" spans="17:18" x14ac:dyDescent="0.25">
      <c r="Q184" s="57">
        <v>0.79861111111111405</v>
      </c>
      <c r="R184">
        <v>183</v>
      </c>
    </row>
    <row r="185" spans="17:18" x14ac:dyDescent="0.25">
      <c r="Q185" s="57">
        <v>0.80208333333333703</v>
      </c>
      <c r="R185">
        <v>184</v>
      </c>
    </row>
    <row r="186" spans="17:18" x14ac:dyDescent="0.25">
      <c r="Q186" s="57">
        <v>0.80555555555555902</v>
      </c>
      <c r="R186">
        <v>185</v>
      </c>
    </row>
    <row r="187" spans="17:18" x14ac:dyDescent="0.25">
      <c r="Q187" s="57">
        <v>0.80902777777778101</v>
      </c>
      <c r="R187">
        <v>186</v>
      </c>
    </row>
    <row r="188" spans="17:18" x14ac:dyDescent="0.25">
      <c r="Q188" s="57">
        <v>0.812500000000003</v>
      </c>
      <c r="R188">
        <v>187</v>
      </c>
    </row>
    <row r="189" spans="17:18" x14ac:dyDescent="0.25">
      <c r="Q189" s="57">
        <v>0.81597222222222499</v>
      </c>
      <c r="R189">
        <v>188</v>
      </c>
    </row>
    <row r="190" spans="17:18" x14ac:dyDescent="0.25">
      <c r="Q190" s="57">
        <v>0.81944444444444797</v>
      </c>
      <c r="R190">
        <v>189</v>
      </c>
    </row>
    <row r="191" spans="17:18" x14ac:dyDescent="0.25">
      <c r="Q191" s="57">
        <v>0.82291666666666996</v>
      </c>
      <c r="R191">
        <v>190</v>
      </c>
    </row>
    <row r="192" spans="17:18" x14ac:dyDescent="0.25">
      <c r="Q192" s="57">
        <v>0.82638888888889195</v>
      </c>
      <c r="R192">
        <v>191</v>
      </c>
    </row>
    <row r="193" spans="17:18" x14ac:dyDescent="0.25">
      <c r="Q193" s="57">
        <v>0.82986111111111405</v>
      </c>
      <c r="R193">
        <v>192</v>
      </c>
    </row>
    <row r="194" spans="17:18" x14ac:dyDescent="0.25">
      <c r="Q194" s="57">
        <v>0.83333333333333703</v>
      </c>
      <c r="R194">
        <v>193</v>
      </c>
    </row>
    <row r="195" spans="17:18" x14ac:dyDescent="0.25">
      <c r="Q195" s="57">
        <v>0.83680555555555902</v>
      </c>
      <c r="R195">
        <v>194</v>
      </c>
    </row>
    <row r="196" spans="17:18" x14ac:dyDescent="0.25">
      <c r="Q196" s="57">
        <v>0.84027777777778101</v>
      </c>
      <c r="R196">
        <v>195</v>
      </c>
    </row>
    <row r="197" spans="17:18" x14ac:dyDescent="0.25">
      <c r="Q197" s="57">
        <v>0.843750000000003</v>
      </c>
      <c r="R197">
        <v>196</v>
      </c>
    </row>
    <row r="198" spans="17:18" x14ac:dyDescent="0.25">
      <c r="Q198" s="57">
        <v>0.84722222222222598</v>
      </c>
      <c r="R198">
        <v>197</v>
      </c>
    </row>
    <row r="199" spans="17:18" x14ac:dyDescent="0.25">
      <c r="Q199" s="57">
        <v>0.85069444444444797</v>
      </c>
      <c r="R199">
        <v>198</v>
      </c>
    </row>
    <row r="200" spans="17:18" x14ac:dyDescent="0.25">
      <c r="Q200" s="57">
        <v>0.85416666666666996</v>
      </c>
      <c r="R200">
        <v>199</v>
      </c>
    </row>
    <row r="201" spans="17:18" x14ac:dyDescent="0.25">
      <c r="Q201" s="57">
        <v>0.85763888888889195</v>
      </c>
      <c r="R201">
        <v>200</v>
      </c>
    </row>
    <row r="202" spans="17:18" x14ac:dyDescent="0.25">
      <c r="Q202" s="57">
        <v>0.86111111111111505</v>
      </c>
      <c r="R202">
        <v>201</v>
      </c>
    </row>
    <row r="203" spans="17:18" x14ac:dyDescent="0.25">
      <c r="Q203" s="57">
        <v>0.86458333333333703</v>
      </c>
      <c r="R203">
        <v>202</v>
      </c>
    </row>
    <row r="204" spans="17:18" x14ac:dyDescent="0.25">
      <c r="Q204" s="57">
        <v>0.86805555555555902</v>
      </c>
      <c r="R204">
        <v>203</v>
      </c>
    </row>
    <row r="205" spans="17:18" x14ac:dyDescent="0.25">
      <c r="Q205" s="57">
        <v>0.87152777777778101</v>
      </c>
      <c r="R205">
        <v>204</v>
      </c>
    </row>
    <row r="206" spans="17:18" x14ac:dyDescent="0.25">
      <c r="Q206" s="57">
        <v>0.875000000000003</v>
      </c>
      <c r="R206">
        <v>205</v>
      </c>
    </row>
    <row r="207" spans="17:18" x14ac:dyDescent="0.25">
      <c r="Q207" s="57">
        <v>0.87847222222222598</v>
      </c>
      <c r="R207">
        <v>206</v>
      </c>
    </row>
    <row r="208" spans="17:18" x14ac:dyDescent="0.25">
      <c r="Q208" s="57">
        <v>0.88194444444444797</v>
      </c>
      <c r="R208">
        <v>207</v>
      </c>
    </row>
    <row r="209" spans="17:18" x14ac:dyDescent="0.25">
      <c r="Q209" s="57">
        <v>0.88541666666666996</v>
      </c>
      <c r="R209">
        <v>208</v>
      </c>
    </row>
    <row r="210" spans="17:18" x14ac:dyDescent="0.25">
      <c r="Q210" s="57">
        <v>0.88888888888889195</v>
      </c>
      <c r="R210">
        <v>209</v>
      </c>
    </row>
    <row r="211" spans="17:18" x14ac:dyDescent="0.25">
      <c r="Q211" s="57">
        <v>0.89236111111111505</v>
      </c>
      <c r="R211">
        <v>210</v>
      </c>
    </row>
    <row r="212" spans="17:18" x14ac:dyDescent="0.25">
      <c r="Q212" s="57">
        <v>0.89583333333333703</v>
      </c>
      <c r="R212">
        <v>211</v>
      </c>
    </row>
    <row r="213" spans="17:18" x14ac:dyDescent="0.25">
      <c r="Q213" s="57">
        <v>0.89930555555555902</v>
      </c>
      <c r="R213">
        <v>212</v>
      </c>
    </row>
    <row r="214" spans="17:18" x14ac:dyDescent="0.25">
      <c r="Q214" s="57">
        <v>0.90277777777778101</v>
      </c>
      <c r="R214">
        <v>213</v>
      </c>
    </row>
    <row r="215" spans="17:18" x14ac:dyDescent="0.25">
      <c r="Q215" s="57">
        <v>0.906250000000004</v>
      </c>
      <c r="R215">
        <v>214</v>
      </c>
    </row>
    <row r="216" spans="17:18" x14ac:dyDescent="0.25">
      <c r="Q216" s="57">
        <v>0.90972222222222598</v>
      </c>
      <c r="R216">
        <v>215</v>
      </c>
    </row>
    <row r="217" spans="17:18" x14ac:dyDescent="0.25">
      <c r="Q217" s="57">
        <v>0.91319444444444797</v>
      </c>
      <c r="R217">
        <v>216</v>
      </c>
    </row>
    <row r="218" spans="17:18" x14ac:dyDescent="0.25">
      <c r="Q218" s="57">
        <v>0.91666666666666996</v>
      </c>
      <c r="R218">
        <v>217</v>
      </c>
    </row>
    <row r="219" spans="17:18" x14ac:dyDescent="0.25">
      <c r="Q219" s="57">
        <v>0.92013888888889295</v>
      </c>
      <c r="R219">
        <v>218</v>
      </c>
    </row>
    <row r="220" spans="17:18" x14ac:dyDescent="0.25">
      <c r="Q220" s="57">
        <v>0.92361111111111505</v>
      </c>
      <c r="R220">
        <v>219</v>
      </c>
    </row>
    <row r="221" spans="17:18" x14ac:dyDescent="0.25">
      <c r="Q221" s="57">
        <v>0.92708333333333703</v>
      </c>
      <c r="R221">
        <v>220</v>
      </c>
    </row>
    <row r="222" spans="17:18" x14ac:dyDescent="0.25">
      <c r="Q222" s="57">
        <v>0.93055555555555902</v>
      </c>
      <c r="R222">
        <v>221</v>
      </c>
    </row>
    <row r="223" spans="17:18" x14ac:dyDescent="0.25">
      <c r="Q223" s="57">
        <v>0.93402777777778101</v>
      </c>
      <c r="R223">
        <v>222</v>
      </c>
    </row>
    <row r="224" spans="17:18" x14ac:dyDescent="0.25">
      <c r="Q224" s="57">
        <v>0.937500000000004</v>
      </c>
      <c r="R224">
        <v>223</v>
      </c>
    </row>
    <row r="225" spans="17:19" x14ac:dyDescent="0.25">
      <c r="Q225" s="57">
        <v>0.94097222222222598</v>
      </c>
      <c r="R225">
        <v>224</v>
      </c>
    </row>
    <row r="226" spans="17:19" x14ac:dyDescent="0.25">
      <c r="Q226" s="57">
        <v>0.94444444444444797</v>
      </c>
      <c r="R226">
        <v>225</v>
      </c>
      <c r="S226" s="58">
        <f t="shared" ref="S226:S241" si="12">CONVERT(Q226,"day","mn")/5-47</f>
        <v>225.00000000000102</v>
      </c>
    </row>
    <row r="227" spans="17:19" x14ac:dyDescent="0.25">
      <c r="Q227" s="57">
        <v>0.94791666666666996</v>
      </c>
      <c r="R227">
        <v>226</v>
      </c>
      <c r="S227" s="58">
        <f t="shared" si="12"/>
        <v>226.00000000000097</v>
      </c>
    </row>
    <row r="228" spans="17:19" x14ac:dyDescent="0.25">
      <c r="Q228" s="57">
        <v>0.95138888888889295</v>
      </c>
      <c r="R228">
        <v>227</v>
      </c>
      <c r="S228" s="58">
        <f t="shared" si="12"/>
        <v>227.00000000000119</v>
      </c>
    </row>
    <row r="229" spans="17:19" x14ac:dyDescent="0.25">
      <c r="Q229" s="57">
        <v>0.95486111111111505</v>
      </c>
      <c r="R229">
        <v>228</v>
      </c>
      <c r="S229" s="58">
        <f t="shared" si="12"/>
        <v>228.00000000000114</v>
      </c>
    </row>
    <row r="230" spans="17:19" x14ac:dyDescent="0.25">
      <c r="Q230" s="57">
        <v>0.95833333333333703</v>
      </c>
      <c r="R230">
        <v>229</v>
      </c>
      <c r="S230" s="58">
        <f t="shared" si="12"/>
        <v>229.00000000000102</v>
      </c>
    </row>
    <row r="231" spans="17:19" x14ac:dyDescent="0.25">
      <c r="Q231" s="57">
        <v>0.96180555555555902</v>
      </c>
      <c r="R231">
        <v>230</v>
      </c>
      <c r="S231" s="58">
        <f t="shared" si="12"/>
        <v>230.00000000000102</v>
      </c>
    </row>
    <row r="232" spans="17:19" x14ac:dyDescent="0.25">
      <c r="Q232" s="57">
        <v>0.96527777777778201</v>
      </c>
      <c r="R232">
        <v>231</v>
      </c>
      <c r="S232" s="58">
        <f t="shared" si="12"/>
        <v>231.00000000000125</v>
      </c>
    </row>
    <row r="233" spans="17:19" x14ac:dyDescent="0.25">
      <c r="Q233" s="57">
        <v>0.968750000000004</v>
      </c>
      <c r="R233">
        <v>232</v>
      </c>
      <c r="S233" s="58">
        <f t="shared" si="12"/>
        <v>232.00000000000119</v>
      </c>
    </row>
    <row r="234" spans="17:19" x14ac:dyDescent="0.25">
      <c r="Q234" s="57">
        <v>0.97222222222222598</v>
      </c>
      <c r="R234">
        <v>233</v>
      </c>
      <c r="S234" s="58">
        <f t="shared" si="12"/>
        <v>233.00000000000102</v>
      </c>
    </row>
    <row r="235" spans="17:19" x14ac:dyDescent="0.25">
      <c r="Q235" s="57">
        <v>0.97569444444444797</v>
      </c>
      <c r="R235">
        <v>234</v>
      </c>
      <c r="S235" s="58">
        <f t="shared" si="12"/>
        <v>234.00000000000102</v>
      </c>
    </row>
    <row r="236" spans="17:19" x14ac:dyDescent="0.25">
      <c r="Q236" s="57">
        <v>0.97916666666667096</v>
      </c>
      <c r="R236">
        <v>235</v>
      </c>
      <c r="S236" s="58">
        <f t="shared" si="12"/>
        <v>235.00000000000125</v>
      </c>
    </row>
    <row r="237" spans="17:19" x14ac:dyDescent="0.25">
      <c r="Q237" s="57">
        <v>0.98263888888889295</v>
      </c>
      <c r="R237">
        <v>236</v>
      </c>
      <c r="S237" s="58">
        <f t="shared" si="12"/>
        <v>236.00000000000119</v>
      </c>
    </row>
    <row r="238" spans="17:19" x14ac:dyDescent="0.25">
      <c r="Q238" s="57">
        <v>0.98611111111111505</v>
      </c>
      <c r="R238">
        <v>237</v>
      </c>
      <c r="S238" s="58">
        <f t="shared" si="12"/>
        <v>237.00000000000114</v>
      </c>
    </row>
    <row r="239" spans="17:19" x14ac:dyDescent="0.25">
      <c r="Q239" s="57">
        <v>0.98958333333333703</v>
      </c>
      <c r="R239">
        <v>238</v>
      </c>
      <c r="S239" s="58">
        <f t="shared" si="12"/>
        <v>238.00000000000102</v>
      </c>
    </row>
    <row r="240" spans="17:19" x14ac:dyDescent="0.25">
      <c r="Q240" s="57">
        <v>0.99305555555556002</v>
      </c>
      <c r="R240">
        <v>239</v>
      </c>
      <c r="S240" s="58">
        <f t="shared" si="12"/>
        <v>239.00000000000131</v>
      </c>
    </row>
    <row r="241" spans="17:19" x14ac:dyDescent="0.25">
      <c r="Q241" s="57">
        <v>0.99652777777778301</v>
      </c>
      <c r="R241">
        <v>240</v>
      </c>
      <c r="S241" s="58">
        <f t="shared" si="12"/>
        <v>240.00000000000148</v>
      </c>
    </row>
    <row r="242" spans="17:19" x14ac:dyDescent="0.25">
      <c r="Q242" s="57">
        <v>1.00000000000001</v>
      </c>
      <c r="R242">
        <v>241</v>
      </c>
      <c r="S242" s="58">
        <f>CONVERT(Q242,"day","mn")/5</f>
        <v>288.00000000000284</v>
      </c>
    </row>
    <row r="243" spans="17:19" x14ac:dyDescent="0.25">
      <c r="Q243" s="57">
        <v>1.0034722222222301</v>
      </c>
      <c r="R243">
        <v>242</v>
      </c>
      <c r="S243" s="58">
        <f>CONVERT(Q243,"day","mn")/5</f>
        <v>289.00000000000227</v>
      </c>
    </row>
    <row r="244" spans="17:19" x14ac:dyDescent="0.25">
      <c r="Q244" s="57">
        <v>1.00694444444445</v>
      </c>
      <c r="R244">
        <v>243</v>
      </c>
      <c r="S244" s="58">
        <f>CONVERT(Q244,"day","mn")</f>
        <v>1450.000000000008</v>
      </c>
    </row>
    <row r="245" spans="17:19" x14ac:dyDescent="0.25">
      <c r="Q245" s="57">
        <v>1.0104166666666701</v>
      </c>
      <c r="R245">
        <v>244</v>
      </c>
      <c r="S245" s="58">
        <f t="shared" ref="S245:S289" si="13">CONVERT(Q245,"day","mn")/5-47</f>
        <v>244.00000000000097</v>
      </c>
    </row>
    <row r="246" spans="17:19" x14ac:dyDescent="0.25">
      <c r="Q246" s="57">
        <v>1.0138888888888999</v>
      </c>
      <c r="R246">
        <v>245</v>
      </c>
      <c r="S246" s="58">
        <f t="shared" si="13"/>
        <v>245.00000000000318</v>
      </c>
    </row>
    <row r="247" spans="17:19" x14ac:dyDescent="0.25">
      <c r="Q247" s="57">
        <v>1.01736111111112</v>
      </c>
      <c r="R247">
        <v>246</v>
      </c>
      <c r="S247" s="58">
        <f>CONVERT(Q247,"day","mn")/5</f>
        <v>293.00000000000261</v>
      </c>
    </row>
    <row r="248" spans="17:19" x14ac:dyDescent="0.25">
      <c r="Q248" s="57">
        <v>1.0208333333333399</v>
      </c>
      <c r="R248">
        <v>247</v>
      </c>
      <c r="S248" s="58">
        <f t="shared" si="13"/>
        <v>247.00000000000193</v>
      </c>
    </row>
    <row r="249" spans="17:19" x14ac:dyDescent="0.25">
      <c r="Q249" s="57">
        <v>1.02430555555557</v>
      </c>
      <c r="R249">
        <v>248</v>
      </c>
      <c r="S249" s="58">
        <f t="shared" si="13"/>
        <v>248.00000000000421</v>
      </c>
    </row>
    <row r="250" spans="17:19" x14ac:dyDescent="0.25">
      <c r="Q250" s="57">
        <v>1.0277777777777899</v>
      </c>
      <c r="R250">
        <v>249</v>
      </c>
      <c r="S250" s="58">
        <f t="shared" si="13"/>
        <v>249.00000000000352</v>
      </c>
    </row>
    <row r="251" spans="17:19" x14ac:dyDescent="0.25">
      <c r="Q251" s="57">
        <v>1.03125000000001</v>
      </c>
      <c r="R251">
        <v>250</v>
      </c>
      <c r="S251" s="58">
        <f t="shared" si="13"/>
        <v>250.00000000000284</v>
      </c>
    </row>
    <row r="252" spans="17:19" x14ac:dyDescent="0.25">
      <c r="Q252" s="57">
        <v>1.0347222222222401</v>
      </c>
      <c r="R252">
        <v>251</v>
      </c>
      <c r="S252" s="58">
        <f t="shared" si="13"/>
        <v>251.00000000000512</v>
      </c>
    </row>
    <row r="253" spans="17:19" x14ac:dyDescent="0.25">
      <c r="Q253" s="57">
        <v>1.03819444444446</v>
      </c>
      <c r="R253">
        <v>252</v>
      </c>
      <c r="S253" s="58">
        <f t="shared" si="13"/>
        <v>252.00000000000443</v>
      </c>
    </row>
    <row r="254" spans="17:19" x14ac:dyDescent="0.25">
      <c r="Q254" s="57">
        <v>1.0416666666666801</v>
      </c>
      <c r="R254">
        <v>253</v>
      </c>
      <c r="S254" s="58">
        <f t="shared" si="13"/>
        <v>253.00000000000387</v>
      </c>
    </row>
    <row r="255" spans="17:19" x14ac:dyDescent="0.25">
      <c r="Q255" s="57">
        <v>1.0451388888888999</v>
      </c>
      <c r="R255">
        <v>254</v>
      </c>
      <c r="S255" s="58">
        <f t="shared" si="13"/>
        <v>254.00000000000318</v>
      </c>
    </row>
    <row r="256" spans="17:19" x14ac:dyDescent="0.25">
      <c r="Q256" s="57">
        <v>1.04861111111113</v>
      </c>
      <c r="R256">
        <v>255</v>
      </c>
      <c r="S256" s="58">
        <f t="shared" si="13"/>
        <v>255.0000000000054</v>
      </c>
    </row>
    <row r="257" spans="17:19" x14ac:dyDescent="0.25">
      <c r="Q257" s="57">
        <v>1.0520833333333499</v>
      </c>
      <c r="R257">
        <v>256</v>
      </c>
      <c r="S257" s="58">
        <f t="shared" si="13"/>
        <v>256.00000000000477</v>
      </c>
    </row>
    <row r="258" spans="17:19" x14ac:dyDescent="0.25">
      <c r="Q258" s="57">
        <v>1.05555555555557</v>
      </c>
      <c r="R258">
        <v>257</v>
      </c>
      <c r="S258" s="58">
        <f t="shared" si="13"/>
        <v>257.00000000000421</v>
      </c>
    </row>
    <row r="259" spans="17:19" x14ac:dyDescent="0.25">
      <c r="Q259" s="57">
        <v>1.0590277777778001</v>
      </c>
      <c r="R259">
        <v>258</v>
      </c>
      <c r="S259" s="58">
        <f t="shared" si="13"/>
        <v>258.00000000000648</v>
      </c>
    </row>
    <row r="260" spans="17:19" x14ac:dyDescent="0.25">
      <c r="Q260" s="57">
        <v>1.06250000000002</v>
      </c>
      <c r="R260">
        <v>259</v>
      </c>
      <c r="S260" s="58">
        <f t="shared" si="13"/>
        <v>259.0000000000058</v>
      </c>
    </row>
    <row r="261" spans="17:19" x14ac:dyDescent="0.25">
      <c r="Q261" s="57">
        <v>1.0659722222222401</v>
      </c>
      <c r="R261">
        <v>260</v>
      </c>
      <c r="S261" s="58">
        <f t="shared" si="13"/>
        <v>260.00000000000512</v>
      </c>
    </row>
    <row r="262" spans="17:19" x14ac:dyDescent="0.25">
      <c r="Q262" s="57">
        <v>1.06944444444447</v>
      </c>
      <c r="R262">
        <v>261</v>
      </c>
      <c r="S262" s="58">
        <f t="shared" si="13"/>
        <v>261.00000000000733</v>
      </c>
    </row>
    <row r="263" spans="17:19" x14ac:dyDescent="0.25">
      <c r="Q263" s="57">
        <v>1.0729166666666901</v>
      </c>
      <c r="R263">
        <v>262</v>
      </c>
      <c r="S263" s="58">
        <f t="shared" si="13"/>
        <v>262.00000000000671</v>
      </c>
    </row>
    <row r="264" spans="17:19" x14ac:dyDescent="0.25">
      <c r="Q264" s="57">
        <v>1.0763888888889099</v>
      </c>
      <c r="R264">
        <v>263</v>
      </c>
      <c r="S264" s="58">
        <f t="shared" si="13"/>
        <v>263.00000000000603</v>
      </c>
    </row>
    <row r="265" spans="17:19" x14ac:dyDescent="0.25">
      <c r="Q265" s="57">
        <v>1.07986111111113</v>
      </c>
      <c r="R265">
        <v>264</v>
      </c>
      <c r="S265" s="58">
        <f t="shared" si="13"/>
        <v>264.0000000000054</v>
      </c>
    </row>
    <row r="266" spans="17:19" x14ac:dyDescent="0.25">
      <c r="Q266" s="57">
        <v>1.0833333333333599</v>
      </c>
      <c r="R266">
        <v>265</v>
      </c>
      <c r="S266" s="58">
        <f t="shared" si="13"/>
        <v>265.00000000000767</v>
      </c>
    </row>
    <row r="267" spans="17:19" x14ac:dyDescent="0.25">
      <c r="Q267" s="57">
        <v>1.08680555555558</v>
      </c>
      <c r="R267">
        <v>266</v>
      </c>
      <c r="S267" s="58">
        <f t="shared" si="13"/>
        <v>266.00000000000705</v>
      </c>
    </row>
    <row r="268" spans="17:19" x14ac:dyDescent="0.25">
      <c r="Q268" s="57">
        <v>1.0902777777778001</v>
      </c>
      <c r="R268">
        <v>267</v>
      </c>
      <c r="S268" s="58">
        <f t="shared" si="13"/>
        <v>267.00000000000648</v>
      </c>
    </row>
    <row r="269" spans="17:19" x14ac:dyDescent="0.25">
      <c r="Q269" s="57">
        <v>1.09375000000003</v>
      </c>
      <c r="R269">
        <v>268</v>
      </c>
      <c r="S269" s="58">
        <f t="shared" si="13"/>
        <v>268.00000000000864</v>
      </c>
    </row>
    <row r="270" spans="17:19" x14ac:dyDescent="0.25">
      <c r="Q270" s="57">
        <v>1.0972222222222501</v>
      </c>
      <c r="R270">
        <v>269</v>
      </c>
      <c r="S270" s="58">
        <f t="shared" si="13"/>
        <v>269.00000000000801</v>
      </c>
    </row>
    <row r="271" spans="17:19" x14ac:dyDescent="0.25">
      <c r="Q271" s="57">
        <v>1.10069444444447</v>
      </c>
      <c r="R271">
        <v>270</v>
      </c>
      <c r="S271" s="58">
        <f t="shared" si="13"/>
        <v>270.00000000000733</v>
      </c>
    </row>
    <row r="272" spans="17:19" x14ac:dyDescent="0.25">
      <c r="Q272" s="57">
        <v>1.1041666666667</v>
      </c>
      <c r="R272">
        <v>271</v>
      </c>
      <c r="S272" s="58">
        <f t="shared" si="13"/>
        <v>271.00000000000961</v>
      </c>
    </row>
    <row r="273" spans="17:19" x14ac:dyDescent="0.25">
      <c r="Q273" s="57">
        <v>1.1076388888889199</v>
      </c>
      <c r="R273">
        <v>272</v>
      </c>
      <c r="S273" s="58">
        <f t="shared" si="13"/>
        <v>272.00000000000892</v>
      </c>
    </row>
    <row r="274" spans="17:19" x14ac:dyDescent="0.25">
      <c r="Q274" s="57">
        <v>1.11111111111114</v>
      </c>
      <c r="R274">
        <v>273</v>
      </c>
      <c r="S274" s="58">
        <f t="shared" si="13"/>
        <v>273.0000000000083</v>
      </c>
    </row>
    <row r="275" spans="17:19" x14ac:dyDescent="0.25">
      <c r="Q275" s="57">
        <v>1.1145833333333699</v>
      </c>
      <c r="R275">
        <v>274</v>
      </c>
      <c r="S275" s="58">
        <f t="shared" si="13"/>
        <v>274.00000000001052</v>
      </c>
    </row>
    <row r="276" spans="17:19" x14ac:dyDescent="0.25">
      <c r="Q276" s="57">
        <v>1.11805555555559</v>
      </c>
      <c r="R276">
        <v>275</v>
      </c>
      <c r="S276" s="58">
        <f t="shared" si="13"/>
        <v>275.00000000000989</v>
      </c>
    </row>
    <row r="277" spans="17:19" x14ac:dyDescent="0.25">
      <c r="Q277" s="57">
        <v>1.1215277777778101</v>
      </c>
      <c r="R277">
        <v>276</v>
      </c>
      <c r="S277" s="58">
        <f t="shared" si="13"/>
        <v>276.00000000000932</v>
      </c>
    </row>
    <row r="278" spans="17:19" x14ac:dyDescent="0.25">
      <c r="Q278" s="57">
        <v>1.12500000000003</v>
      </c>
      <c r="R278">
        <v>277</v>
      </c>
      <c r="S278" s="58">
        <f t="shared" si="13"/>
        <v>277.00000000000864</v>
      </c>
    </row>
    <row r="279" spans="17:19" x14ac:dyDescent="0.25">
      <c r="Q279" s="57">
        <v>1.1284722222222601</v>
      </c>
      <c r="R279">
        <v>278</v>
      </c>
      <c r="S279" s="58">
        <f t="shared" si="13"/>
        <v>278.00000000001091</v>
      </c>
    </row>
    <row r="280" spans="17:19" x14ac:dyDescent="0.25">
      <c r="Q280" s="57">
        <v>1.1319444444444799</v>
      </c>
      <c r="R280">
        <v>279</v>
      </c>
      <c r="S280" s="58">
        <f>CONVERT(Q280,"day","mn")</f>
        <v>1630.0000000000512</v>
      </c>
    </row>
    <row r="281" spans="17:19" x14ac:dyDescent="0.25">
      <c r="Q281" s="57">
        <v>1.1354166666667</v>
      </c>
      <c r="R281">
        <v>280</v>
      </c>
      <c r="S281" s="58">
        <f t="shared" si="13"/>
        <v>280.00000000000961</v>
      </c>
    </row>
    <row r="282" spans="17:19" x14ac:dyDescent="0.25">
      <c r="Q282" s="57">
        <v>1.1388888888889299</v>
      </c>
      <c r="R282">
        <v>281</v>
      </c>
      <c r="S282" s="58">
        <f t="shared" si="13"/>
        <v>281.00000000001182</v>
      </c>
    </row>
    <row r="283" spans="17:19" x14ac:dyDescent="0.25">
      <c r="Q283" s="57">
        <v>1.14236111111115</v>
      </c>
      <c r="R283">
        <v>282</v>
      </c>
      <c r="S283" s="58">
        <f t="shared" si="13"/>
        <v>282.0000000000112</v>
      </c>
    </row>
    <row r="284" spans="17:19" x14ac:dyDescent="0.25">
      <c r="Q284" s="57">
        <v>1.1458333333333699</v>
      </c>
      <c r="R284">
        <v>283</v>
      </c>
      <c r="S284" s="58">
        <f t="shared" si="13"/>
        <v>283.00000000001052</v>
      </c>
    </row>
    <row r="285" spans="17:19" x14ac:dyDescent="0.25">
      <c r="Q285" s="57">
        <v>1.14930555555559</v>
      </c>
      <c r="R285">
        <v>284</v>
      </c>
      <c r="S285" s="58">
        <f t="shared" si="13"/>
        <v>284.00000000000989</v>
      </c>
    </row>
    <row r="286" spans="17:19" x14ac:dyDescent="0.25">
      <c r="Q286" s="57">
        <v>1.1527777777778201</v>
      </c>
      <c r="R286">
        <v>285</v>
      </c>
      <c r="S286" s="58">
        <f t="shared" si="13"/>
        <v>285.00000000001216</v>
      </c>
    </row>
    <row r="287" spans="17:19" x14ac:dyDescent="0.25">
      <c r="Q287" s="57">
        <v>1.15625000000004</v>
      </c>
      <c r="R287">
        <v>286</v>
      </c>
      <c r="S287" s="58">
        <f t="shared" si="13"/>
        <v>286.00000000001148</v>
      </c>
    </row>
    <row r="288" spans="17:19" x14ac:dyDescent="0.25">
      <c r="Q288" s="57">
        <v>1.1597222222222601</v>
      </c>
      <c r="R288">
        <v>287</v>
      </c>
      <c r="S288" s="58">
        <f t="shared" si="13"/>
        <v>287.00000000001091</v>
      </c>
    </row>
    <row r="289" spans="17:19" x14ac:dyDescent="0.25">
      <c r="Q289" s="57">
        <v>1.1631944444444899</v>
      </c>
      <c r="R289">
        <v>288</v>
      </c>
      <c r="S289" s="58">
        <f t="shared" si="13"/>
        <v>288.00000000001307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F9A6-2530-4A8C-B7AF-B98029CBDF52}">
  <sheetPr codeName="Sheet3"/>
  <dimension ref="A1:O102"/>
  <sheetViews>
    <sheetView topLeftCell="A78" workbookViewId="0">
      <selection activeCell="L1" sqref="L1:O102"/>
    </sheetView>
  </sheetViews>
  <sheetFormatPr defaultRowHeight="15" x14ac:dyDescent="0.25"/>
  <cols>
    <col min="12" max="15" width="9.140625" style="56"/>
  </cols>
  <sheetData>
    <row r="1" spans="1:15" ht="30" x14ac:dyDescent="0.25">
      <c r="A1" s="2"/>
      <c r="B1" s="3" t="s">
        <v>0</v>
      </c>
      <c r="C1" s="3" t="s">
        <v>1</v>
      </c>
      <c r="D1" s="3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t="s">
        <v>9</v>
      </c>
      <c r="L1" s="72" t="s">
        <v>19</v>
      </c>
      <c r="M1" s="73" t="s">
        <v>20</v>
      </c>
      <c r="N1" s="73" t="s">
        <v>21</v>
      </c>
      <c r="O1" s="73" t="s">
        <v>22</v>
      </c>
    </row>
    <row r="2" spans="1:15" x14ac:dyDescent="0.25">
      <c r="A2" s="10">
        <v>0</v>
      </c>
      <c r="B2" s="10">
        <v>1</v>
      </c>
      <c r="C2" s="11">
        <v>0.18263888888888888</v>
      </c>
      <c r="D2" s="11">
        <v>0.50138888888888888</v>
      </c>
      <c r="E2" s="11">
        <v>0.54374999999999996</v>
      </c>
      <c r="F2" s="11">
        <v>0.86249999999999993</v>
      </c>
      <c r="G2" s="10">
        <v>103.56454501452063</v>
      </c>
      <c r="H2" s="10">
        <v>83.120059865303276</v>
      </c>
      <c r="I2" s="12">
        <v>166</v>
      </c>
      <c r="J2" t="s">
        <v>10</v>
      </c>
      <c r="K2">
        <f>SUM(G2:H2)</f>
        <v>186.68460487982389</v>
      </c>
      <c r="L2" s="56">
        <f>(CONVERT(C2,"day","mn")-239)/5</f>
        <v>4.8</v>
      </c>
      <c r="M2" s="56">
        <f>(CONVERT(D2,"day","mn")-239)/5</f>
        <v>96.6</v>
      </c>
      <c r="N2" s="56">
        <f>(CONVERT(E2,"day","mn")-239)/5</f>
        <v>108.79999999999998</v>
      </c>
      <c r="O2" s="56">
        <f>(CONVERT(F2,"day","mn")-239)/5</f>
        <v>200.6</v>
      </c>
    </row>
    <row r="3" spans="1:15" x14ac:dyDescent="0.25">
      <c r="A3" s="10">
        <v>1</v>
      </c>
      <c r="B3" s="10">
        <v>2</v>
      </c>
      <c r="C3" s="11">
        <v>0.20208333333333334</v>
      </c>
      <c r="D3" s="11">
        <v>0.52083333333333326</v>
      </c>
      <c r="E3" s="11">
        <v>0.56319444444444444</v>
      </c>
      <c r="F3" s="11">
        <v>0.88194444444444453</v>
      </c>
      <c r="G3" s="10">
        <v>103.56454501452063</v>
      </c>
      <c r="H3" s="10">
        <v>83.120059865303276</v>
      </c>
      <c r="I3" s="12">
        <v>166</v>
      </c>
      <c r="J3" t="s">
        <v>10</v>
      </c>
      <c r="K3">
        <f t="shared" ref="K3:K66" si="0">SUM(G3:H3)</f>
        <v>186.68460487982389</v>
      </c>
      <c r="L3" s="56">
        <f t="shared" ref="L3:L66" si="1">(CONVERT(C3,"day","mn")-239)/5</f>
        <v>10.4</v>
      </c>
      <c r="M3" s="56">
        <f t="shared" ref="M3:M66" si="2">(CONVERT(D3,"day","mn")-239)/5</f>
        <v>102.19999999999997</v>
      </c>
      <c r="N3" s="56">
        <f t="shared" ref="N3:N66" si="3">(CONVERT(E3,"day","mn")-239)/5</f>
        <v>114.4</v>
      </c>
      <c r="O3" s="56">
        <f t="shared" ref="O3:O66" si="4">(CONVERT(F3,"day","mn")-239)/5</f>
        <v>206.20000000000005</v>
      </c>
    </row>
    <row r="4" spans="1:15" x14ac:dyDescent="0.25">
      <c r="A4" s="10">
        <v>2</v>
      </c>
      <c r="B4" s="10">
        <v>3</v>
      </c>
      <c r="C4" s="11">
        <v>0.21111111111111111</v>
      </c>
      <c r="D4" s="11">
        <v>0.52986111111111112</v>
      </c>
      <c r="E4" s="11">
        <v>0.57222222222222219</v>
      </c>
      <c r="F4" s="11">
        <v>0.89097222222222217</v>
      </c>
      <c r="G4" s="10">
        <v>103.56454501452063</v>
      </c>
      <c r="H4" s="10">
        <v>83.120059865303276</v>
      </c>
      <c r="I4" s="12">
        <v>166</v>
      </c>
      <c r="J4" t="s">
        <v>10</v>
      </c>
      <c r="K4">
        <f t="shared" si="0"/>
        <v>186.68460487982389</v>
      </c>
      <c r="L4" s="56">
        <f t="shared" si="1"/>
        <v>13</v>
      </c>
      <c r="M4" s="56">
        <f t="shared" si="2"/>
        <v>104.8</v>
      </c>
      <c r="N4" s="56">
        <f t="shared" si="3"/>
        <v>117</v>
      </c>
      <c r="O4" s="56">
        <f t="shared" si="4"/>
        <v>208.8</v>
      </c>
    </row>
    <row r="5" spans="1:15" x14ac:dyDescent="0.25">
      <c r="A5" s="10">
        <v>3</v>
      </c>
      <c r="B5" s="10">
        <v>4</v>
      </c>
      <c r="C5" s="11">
        <v>0.22083333333333335</v>
      </c>
      <c r="D5" s="11">
        <v>0.54027777777777775</v>
      </c>
      <c r="E5" s="11">
        <v>0.58194444444444438</v>
      </c>
      <c r="F5" s="11">
        <v>0.90138888888888891</v>
      </c>
      <c r="G5" s="10">
        <v>103.56454501452063</v>
      </c>
      <c r="H5" s="10">
        <v>83.120059865303276</v>
      </c>
      <c r="I5" s="12">
        <v>166</v>
      </c>
      <c r="J5" t="s">
        <v>10</v>
      </c>
      <c r="K5">
        <f t="shared" si="0"/>
        <v>186.68460487982389</v>
      </c>
      <c r="L5" s="56">
        <f t="shared" si="1"/>
        <v>15.8</v>
      </c>
      <c r="M5" s="56">
        <f t="shared" si="2"/>
        <v>107.8</v>
      </c>
      <c r="N5" s="56">
        <f t="shared" si="3"/>
        <v>119.79999999999998</v>
      </c>
      <c r="O5" s="56">
        <f t="shared" si="4"/>
        <v>211.8</v>
      </c>
    </row>
    <row r="6" spans="1:15" x14ac:dyDescent="0.25">
      <c r="A6" s="10">
        <v>4</v>
      </c>
      <c r="B6" s="10">
        <v>5</v>
      </c>
      <c r="C6" s="11">
        <v>0.23194444444444445</v>
      </c>
      <c r="D6" s="11">
        <v>0.5493055555555556</v>
      </c>
      <c r="E6" s="11">
        <v>0.59166666666666667</v>
      </c>
      <c r="F6" s="11">
        <v>0.91041666666666676</v>
      </c>
      <c r="G6" s="10">
        <v>103.56454501452063</v>
      </c>
      <c r="H6" s="10">
        <v>83.120059865303276</v>
      </c>
      <c r="I6" s="12">
        <v>166</v>
      </c>
      <c r="J6" t="s">
        <v>10</v>
      </c>
      <c r="K6">
        <f t="shared" si="0"/>
        <v>186.68460487982389</v>
      </c>
      <c r="L6" s="56">
        <f t="shared" si="1"/>
        <v>19</v>
      </c>
      <c r="M6" s="56">
        <f t="shared" si="2"/>
        <v>110.40000000000002</v>
      </c>
      <c r="N6" s="56">
        <f t="shared" si="3"/>
        <v>122.6</v>
      </c>
      <c r="O6" s="56">
        <f t="shared" si="4"/>
        <v>214.40000000000003</v>
      </c>
    </row>
    <row r="7" spans="1:15" x14ac:dyDescent="0.25">
      <c r="A7" s="10">
        <v>5</v>
      </c>
      <c r="B7" s="10">
        <v>6</v>
      </c>
      <c r="C7" s="11">
        <v>0.24027777777777778</v>
      </c>
      <c r="D7" s="11">
        <v>0.55972222222222223</v>
      </c>
      <c r="E7" s="11">
        <v>0.60138888888888886</v>
      </c>
      <c r="F7" s="11">
        <v>0.91666666666666663</v>
      </c>
      <c r="G7" s="10">
        <v>103.56454501452063</v>
      </c>
      <c r="H7" s="10">
        <v>83.120059865303276</v>
      </c>
      <c r="I7" s="12">
        <v>166</v>
      </c>
      <c r="J7" t="s">
        <v>10</v>
      </c>
      <c r="K7">
        <f t="shared" si="0"/>
        <v>186.68460487982389</v>
      </c>
      <c r="L7" s="56">
        <f t="shared" si="1"/>
        <v>21.4</v>
      </c>
      <c r="M7" s="56">
        <f t="shared" si="2"/>
        <v>113.4</v>
      </c>
      <c r="N7" s="56">
        <f t="shared" si="3"/>
        <v>125.4</v>
      </c>
      <c r="O7" s="56">
        <f t="shared" si="4"/>
        <v>216.2</v>
      </c>
    </row>
    <row r="8" spans="1:15" x14ac:dyDescent="0.25">
      <c r="A8" s="10">
        <v>6</v>
      </c>
      <c r="B8" s="10">
        <v>7</v>
      </c>
      <c r="C8" s="11">
        <v>0.25</v>
      </c>
      <c r="D8" s="11">
        <v>0.56736111111111109</v>
      </c>
      <c r="E8" s="11">
        <v>0.61111111111111105</v>
      </c>
      <c r="F8" s="11">
        <v>0.92986111111111114</v>
      </c>
      <c r="G8" s="10">
        <v>103.56454501452063</v>
      </c>
      <c r="H8" s="10">
        <v>83.120059865303276</v>
      </c>
      <c r="I8" s="12">
        <v>166</v>
      </c>
      <c r="J8" t="s">
        <v>10</v>
      </c>
      <c r="K8">
        <f t="shared" si="0"/>
        <v>186.68460487982389</v>
      </c>
      <c r="L8" s="56">
        <f t="shared" si="1"/>
        <v>24.2</v>
      </c>
      <c r="M8" s="56">
        <f t="shared" si="2"/>
        <v>115.6</v>
      </c>
      <c r="N8" s="56">
        <f t="shared" si="3"/>
        <v>128.19999999999999</v>
      </c>
      <c r="O8" s="56">
        <f t="shared" si="4"/>
        <v>220</v>
      </c>
    </row>
    <row r="9" spans="1:15" x14ac:dyDescent="0.25">
      <c r="A9" s="10">
        <v>7</v>
      </c>
      <c r="B9" s="10">
        <v>8</v>
      </c>
      <c r="C9" s="11">
        <v>0.25972222222222224</v>
      </c>
      <c r="D9" s="11">
        <v>0.57916666666666672</v>
      </c>
      <c r="E9" s="11">
        <v>0.62083333333333324</v>
      </c>
      <c r="F9" s="11">
        <v>0.94027777777777777</v>
      </c>
      <c r="G9" s="10">
        <v>103.56454501452063</v>
      </c>
      <c r="H9" s="10">
        <v>83.120059865303276</v>
      </c>
      <c r="I9" s="12">
        <v>166</v>
      </c>
      <c r="J9" t="s">
        <v>10</v>
      </c>
      <c r="K9">
        <f t="shared" si="0"/>
        <v>186.68460487982389</v>
      </c>
      <c r="L9" s="56">
        <f t="shared" si="1"/>
        <v>27</v>
      </c>
      <c r="M9" s="56">
        <f t="shared" si="2"/>
        <v>119.00000000000003</v>
      </c>
      <c r="N9" s="56">
        <f t="shared" si="3"/>
        <v>130.99999999999997</v>
      </c>
      <c r="O9" s="56">
        <f t="shared" si="4"/>
        <v>223</v>
      </c>
    </row>
    <row r="10" spans="1:15" x14ac:dyDescent="0.25">
      <c r="A10" s="10">
        <v>8</v>
      </c>
      <c r="B10" s="10">
        <v>9</v>
      </c>
      <c r="C10" s="11">
        <v>0.26944444444444449</v>
      </c>
      <c r="D10" s="11">
        <v>0.58819444444444446</v>
      </c>
      <c r="E10" s="11">
        <v>0.64027777777777772</v>
      </c>
      <c r="F10" s="11">
        <v>0.95972222222222225</v>
      </c>
      <c r="G10" s="10">
        <v>103.56454501452063</v>
      </c>
      <c r="H10" s="10">
        <v>83.120059865303276</v>
      </c>
      <c r="I10" s="12">
        <v>166</v>
      </c>
      <c r="J10" t="s">
        <v>10</v>
      </c>
      <c r="K10">
        <f t="shared" si="0"/>
        <v>186.68460487982389</v>
      </c>
      <c r="L10" s="56">
        <f t="shared" si="1"/>
        <v>29.800000000000011</v>
      </c>
      <c r="M10" s="56">
        <f t="shared" si="2"/>
        <v>121.6</v>
      </c>
      <c r="N10" s="56">
        <f t="shared" si="3"/>
        <v>136.59999999999997</v>
      </c>
      <c r="O10" s="56">
        <f t="shared" si="4"/>
        <v>228.6</v>
      </c>
    </row>
    <row r="11" spans="1:15" x14ac:dyDescent="0.25">
      <c r="A11" s="10">
        <v>9</v>
      </c>
      <c r="B11" s="10">
        <v>10</v>
      </c>
      <c r="C11" s="11">
        <v>0.27916666666666667</v>
      </c>
      <c r="D11" s="11">
        <v>0.61249999999999993</v>
      </c>
      <c r="E11" s="11">
        <v>0.65972222222222221</v>
      </c>
      <c r="F11" s="11">
        <v>0.97916666666666663</v>
      </c>
      <c r="G11" s="10">
        <v>103.56454501452063</v>
      </c>
      <c r="H11" s="10">
        <v>83.120059865303276</v>
      </c>
      <c r="I11" s="12">
        <v>166</v>
      </c>
      <c r="J11" t="s">
        <v>10</v>
      </c>
      <c r="K11">
        <f t="shared" si="0"/>
        <v>186.68460487982389</v>
      </c>
      <c r="L11" s="56">
        <f t="shared" si="1"/>
        <v>32.6</v>
      </c>
      <c r="M11" s="56">
        <f t="shared" si="2"/>
        <v>128.59999999999997</v>
      </c>
      <c r="N11" s="56">
        <f t="shared" si="3"/>
        <v>142.19999999999999</v>
      </c>
      <c r="O11" s="56">
        <f t="shared" si="4"/>
        <v>234.2</v>
      </c>
    </row>
    <row r="12" spans="1:15" x14ac:dyDescent="0.25">
      <c r="A12" s="10">
        <v>10</v>
      </c>
      <c r="B12" s="10">
        <v>11</v>
      </c>
      <c r="C12" s="11">
        <v>0.28888888888888886</v>
      </c>
      <c r="D12" s="11">
        <v>0.60763888888888884</v>
      </c>
      <c r="E12" s="11">
        <v>0.6694444444444444</v>
      </c>
      <c r="F12" s="11">
        <v>0.98819444444444449</v>
      </c>
      <c r="G12" s="10">
        <v>103.56454501452063</v>
      </c>
      <c r="H12" s="10">
        <v>83.120059865303276</v>
      </c>
      <c r="I12" s="12">
        <v>166</v>
      </c>
      <c r="J12" t="s">
        <v>10</v>
      </c>
      <c r="K12">
        <f t="shared" si="0"/>
        <v>186.68460487982389</v>
      </c>
      <c r="L12" s="56">
        <f t="shared" si="1"/>
        <v>35.399999999999991</v>
      </c>
      <c r="M12" s="56">
        <f t="shared" si="2"/>
        <v>127.19999999999997</v>
      </c>
      <c r="N12" s="56">
        <f t="shared" si="3"/>
        <v>144.99999999999997</v>
      </c>
      <c r="O12" s="56">
        <f t="shared" si="4"/>
        <v>236.8</v>
      </c>
    </row>
    <row r="13" spans="1:15" x14ac:dyDescent="0.25">
      <c r="A13" s="10">
        <v>11</v>
      </c>
      <c r="B13" s="10">
        <v>12</v>
      </c>
      <c r="C13" s="11">
        <v>0.2986111111111111</v>
      </c>
      <c r="D13" s="11">
        <v>0.61805555555555558</v>
      </c>
      <c r="E13" s="11">
        <v>0.67916666666666659</v>
      </c>
      <c r="F13" s="11">
        <v>0.99861111111111112</v>
      </c>
      <c r="G13" s="10">
        <v>103.56454501452063</v>
      </c>
      <c r="H13" s="10">
        <v>83.120059865303276</v>
      </c>
      <c r="I13" s="12">
        <v>166</v>
      </c>
      <c r="J13" t="s">
        <v>10</v>
      </c>
      <c r="K13">
        <f t="shared" si="0"/>
        <v>186.68460487982389</v>
      </c>
      <c r="L13" s="56">
        <f t="shared" si="1"/>
        <v>38.200000000000003</v>
      </c>
      <c r="M13" s="56">
        <f t="shared" si="2"/>
        <v>130.19999999999999</v>
      </c>
      <c r="N13" s="56">
        <f t="shared" si="3"/>
        <v>147.79999999999998</v>
      </c>
      <c r="O13" s="56">
        <f t="shared" si="4"/>
        <v>239.8</v>
      </c>
    </row>
    <row r="14" spans="1:15" x14ac:dyDescent="0.25">
      <c r="A14" s="10">
        <v>12</v>
      </c>
      <c r="B14" s="10">
        <v>13</v>
      </c>
      <c r="C14" s="11">
        <v>0.30833333333333335</v>
      </c>
      <c r="D14" s="11">
        <v>0.62708333333333333</v>
      </c>
      <c r="E14" s="11">
        <v>0.69097222222222221</v>
      </c>
      <c r="F14" s="11">
        <v>9.7222222222222224E-3</v>
      </c>
      <c r="G14" s="10">
        <v>103.56454501452063</v>
      </c>
      <c r="H14" s="10">
        <v>83.120059865303276</v>
      </c>
      <c r="I14" s="12">
        <v>166</v>
      </c>
      <c r="J14" t="s">
        <v>10</v>
      </c>
      <c r="K14">
        <f t="shared" si="0"/>
        <v>186.68460487982389</v>
      </c>
      <c r="L14" s="56">
        <f t="shared" si="1"/>
        <v>41</v>
      </c>
      <c r="M14" s="56">
        <f t="shared" si="2"/>
        <v>132.80000000000001</v>
      </c>
      <c r="N14" s="56">
        <f t="shared" si="3"/>
        <v>151.19999999999999</v>
      </c>
      <c r="O14" s="56">
        <f>(1440+CONVERT(F14,"day","mn")-239)/5</f>
        <v>243</v>
      </c>
    </row>
    <row r="15" spans="1:15" x14ac:dyDescent="0.25">
      <c r="A15" s="10">
        <v>13</v>
      </c>
      <c r="B15" s="10">
        <v>14</v>
      </c>
      <c r="C15" s="11">
        <v>0.31805555555555554</v>
      </c>
      <c r="D15" s="11">
        <v>0.63750000000000007</v>
      </c>
      <c r="E15" s="11">
        <v>0.69861111111111107</v>
      </c>
      <c r="F15" s="11">
        <v>1.8055555555555554E-2</v>
      </c>
      <c r="G15" s="10">
        <v>103.56454501452063</v>
      </c>
      <c r="H15" s="10">
        <v>83.120059865303276</v>
      </c>
      <c r="I15" s="12">
        <v>166</v>
      </c>
      <c r="J15" t="s">
        <v>10</v>
      </c>
      <c r="K15">
        <f t="shared" si="0"/>
        <v>186.68460487982389</v>
      </c>
      <c r="L15" s="56">
        <f t="shared" si="1"/>
        <v>43.8</v>
      </c>
      <c r="M15" s="56">
        <f t="shared" si="2"/>
        <v>135.80000000000001</v>
      </c>
      <c r="N15" s="56">
        <f t="shared" si="3"/>
        <v>153.4</v>
      </c>
      <c r="O15" s="56">
        <f t="shared" ref="O15:O16" si="5">(1440+CONVERT(F15,"day","mn")-239)/5</f>
        <v>245.4</v>
      </c>
    </row>
    <row r="16" spans="1:15" x14ac:dyDescent="0.25">
      <c r="A16" s="10">
        <v>14</v>
      </c>
      <c r="B16" s="10">
        <v>15</v>
      </c>
      <c r="C16" s="11">
        <v>0.33055555555555555</v>
      </c>
      <c r="D16" s="11">
        <v>0.64236111111111105</v>
      </c>
      <c r="E16" s="11">
        <v>0.71875</v>
      </c>
      <c r="F16" s="11">
        <v>3.888888888888889E-2</v>
      </c>
      <c r="G16" s="10">
        <v>103.56454501452063</v>
      </c>
      <c r="H16" s="10">
        <v>83.120059865303276</v>
      </c>
      <c r="I16" s="12">
        <v>166</v>
      </c>
      <c r="J16" t="s">
        <v>10</v>
      </c>
      <c r="K16">
        <f t="shared" si="0"/>
        <v>186.68460487982389</v>
      </c>
      <c r="L16" s="56">
        <f t="shared" si="1"/>
        <v>47.4</v>
      </c>
      <c r="M16" s="56">
        <f t="shared" si="2"/>
        <v>137.19999999999999</v>
      </c>
      <c r="N16" s="56">
        <f t="shared" si="3"/>
        <v>159.19999999999999</v>
      </c>
      <c r="O16" s="56">
        <f t="shared" si="5"/>
        <v>251.4</v>
      </c>
    </row>
    <row r="17" spans="1:15" x14ac:dyDescent="0.25">
      <c r="A17" s="10">
        <v>15</v>
      </c>
      <c r="B17" s="10">
        <v>16</v>
      </c>
      <c r="C17" s="11">
        <v>0.33750000000000002</v>
      </c>
      <c r="D17" s="11">
        <v>0.65694444444444444</v>
      </c>
      <c r="E17" s="11"/>
      <c r="F17" s="11"/>
      <c r="G17" s="10">
        <v>103.56454501452063</v>
      </c>
      <c r="H17" s="10">
        <v>0</v>
      </c>
      <c r="I17" s="12">
        <v>166</v>
      </c>
      <c r="J17" t="s">
        <v>10</v>
      </c>
      <c r="K17">
        <f t="shared" si="0"/>
        <v>103.56454501452063</v>
      </c>
      <c r="L17" s="56">
        <f t="shared" si="1"/>
        <v>49.400000000000013</v>
      </c>
      <c r="M17" s="56">
        <f t="shared" si="2"/>
        <v>141.4</v>
      </c>
      <c r="N17" s="56">
        <v>0</v>
      </c>
      <c r="O17" s="56">
        <v>0</v>
      </c>
    </row>
    <row r="18" spans="1:15" x14ac:dyDescent="0.25">
      <c r="A18" s="10">
        <v>16</v>
      </c>
      <c r="B18" s="10">
        <v>17</v>
      </c>
      <c r="C18" s="11">
        <v>0.3569444444444444</v>
      </c>
      <c r="D18" s="11">
        <v>0.67638888888888893</v>
      </c>
      <c r="E18" s="11"/>
      <c r="F18" s="11"/>
      <c r="G18" s="10">
        <v>103.56454501452063</v>
      </c>
      <c r="H18" s="10">
        <v>0</v>
      </c>
      <c r="I18" s="12">
        <v>166</v>
      </c>
      <c r="J18" t="s">
        <v>10</v>
      </c>
      <c r="K18">
        <f t="shared" si="0"/>
        <v>103.56454501452063</v>
      </c>
      <c r="L18" s="56">
        <f t="shared" si="1"/>
        <v>54.999999999999979</v>
      </c>
      <c r="M18" s="56">
        <f t="shared" si="2"/>
        <v>147</v>
      </c>
      <c r="N18" s="56">
        <v>0</v>
      </c>
      <c r="O18" s="56">
        <v>0</v>
      </c>
    </row>
    <row r="19" spans="1:15" x14ac:dyDescent="0.25">
      <c r="A19" s="13">
        <v>17</v>
      </c>
      <c r="B19" s="13">
        <v>18</v>
      </c>
      <c r="C19" s="14">
        <v>0.22222222222222221</v>
      </c>
      <c r="D19" s="14">
        <v>0.53125</v>
      </c>
      <c r="E19" s="14">
        <v>0.57291666666666663</v>
      </c>
      <c r="F19" s="14">
        <v>0.88194444444444453</v>
      </c>
      <c r="G19" s="13">
        <v>97.608770576131477</v>
      </c>
      <c r="H19" s="13">
        <v>78.929543039319853</v>
      </c>
      <c r="I19" s="15">
        <v>183</v>
      </c>
      <c r="J19" t="s">
        <v>10</v>
      </c>
      <c r="K19">
        <f t="shared" si="0"/>
        <v>176.53831361545133</v>
      </c>
      <c r="L19" s="56">
        <f t="shared" si="1"/>
        <v>16.2</v>
      </c>
      <c r="M19" s="56">
        <f t="shared" si="2"/>
        <v>105.2</v>
      </c>
      <c r="N19" s="56">
        <f t="shared" si="3"/>
        <v>117.2</v>
      </c>
      <c r="O19" s="56">
        <f t="shared" si="4"/>
        <v>206.20000000000005</v>
      </c>
    </row>
    <row r="20" spans="1:15" x14ac:dyDescent="0.25">
      <c r="A20" s="13">
        <v>18</v>
      </c>
      <c r="B20" s="13">
        <v>19</v>
      </c>
      <c r="C20" s="14">
        <v>0.24305555555555555</v>
      </c>
      <c r="D20" s="14">
        <v>0.55208333333333337</v>
      </c>
      <c r="E20" s="14">
        <v>0.59375</v>
      </c>
      <c r="F20" s="14">
        <v>0.90277777777777779</v>
      </c>
      <c r="G20" s="13">
        <v>97.608770576131477</v>
      </c>
      <c r="H20" s="13">
        <v>78.929543039319853</v>
      </c>
      <c r="I20" s="15">
        <v>183</v>
      </c>
      <c r="J20" t="s">
        <v>10</v>
      </c>
      <c r="K20">
        <f t="shared" si="0"/>
        <v>176.53831361545133</v>
      </c>
      <c r="L20" s="56">
        <f t="shared" si="1"/>
        <v>22.2</v>
      </c>
      <c r="M20" s="56">
        <f t="shared" si="2"/>
        <v>111.2</v>
      </c>
      <c r="N20" s="56">
        <f t="shared" si="3"/>
        <v>123.2</v>
      </c>
      <c r="O20" s="56">
        <f t="shared" si="4"/>
        <v>212.2</v>
      </c>
    </row>
    <row r="21" spans="1:15" x14ac:dyDescent="0.25">
      <c r="A21" s="13">
        <v>19</v>
      </c>
      <c r="B21" s="13">
        <v>20</v>
      </c>
      <c r="C21" s="14">
        <v>0.2673611111111111</v>
      </c>
      <c r="D21" s="14">
        <v>0.57638888888888895</v>
      </c>
      <c r="E21" s="14">
        <v>0.61805555555555558</v>
      </c>
      <c r="F21" s="14">
        <v>0.92708333333333337</v>
      </c>
      <c r="G21" s="13">
        <v>97.608770576131477</v>
      </c>
      <c r="H21" s="13">
        <v>78.929543039319853</v>
      </c>
      <c r="I21" s="15">
        <v>183</v>
      </c>
      <c r="J21" t="s">
        <v>10</v>
      </c>
      <c r="K21">
        <f t="shared" si="0"/>
        <v>176.53831361545133</v>
      </c>
      <c r="L21" s="56">
        <f t="shared" si="1"/>
        <v>29.2</v>
      </c>
      <c r="M21" s="56">
        <f t="shared" si="2"/>
        <v>118.20000000000002</v>
      </c>
      <c r="N21" s="56">
        <f t="shared" si="3"/>
        <v>130.19999999999999</v>
      </c>
      <c r="O21" s="56">
        <f t="shared" si="4"/>
        <v>219.2</v>
      </c>
    </row>
    <row r="22" spans="1:15" x14ac:dyDescent="0.25">
      <c r="A22" s="13">
        <v>20</v>
      </c>
      <c r="B22" s="13">
        <v>21</v>
      </c>
      <c r="C22" s="14">
        <v>0.29166666666666669</v>
      </c>
      <c r="D22" s="14">
        <v>0.60069444444444442</v>
      </c>
      <c r="E22" s="14">
        <v>0.64236111111111105</v>
      </c>
      <c r="F22" s="14">
        <v>0.95138888888888884</v>
      </c>
      <c r="G22" s="13">
        <v>97.608770576131477</v>
      </c>
      <c r="H22" s="13">
        <v>78.929543039319853</v>
      </c>
      <c r="I22" s="15">
        <v>183</v>
      </c>
      <c r="J22" t="s">
        <v>10</v>
      </c>
      <c r="K22">
        <f t="shared" si="0"/>
        <v>176.53831361545133</v>
      </c>
      <c r="L22" s="56">
        <f t="shared" si="1"/>
        <v>36.200000000000003</v>
      </c>
      <c r="M22" s="56">
        <f t="shared" si="2"/>
        <v>125.2</v>
      </c>
      <c r="N22" s="56">
        <f t="shared" si="3"/>
        <v>137.19999999999999</v>
      </c>
      <c r="O22" s="56">
        <f t="shared" si="4"/>
        <v>226.2</v>
      </c>
    </row>
    <row r="23" spans="1:15" x14ac:dyDescent="0.25">
      <c r="A23" s="13">
        <v>21</v>
      </c>
      <c r="B23" s="13">
        <v>22</v>
      </c>
      <c r="C23" s="14">
        <v>0.2986111111111111</v>
      </c>
      <c r="D23" s="14">
        <v>0.60763888888888895</v>
      </c>
      <c r="E23" s="14">
        <v>0.64930555555555558</v>
      </c>
      <c r="F23" s="14">
        <v>0.95833333333333337</v>
      </c>
      <c r="G23" s="13">
        <v>97.608770576131477</v>
      </c>
      <c r="H23" s="13">
        <v>78.929543039319853</v>
      </c>
      <c r="I23" s="15">
        <v>183</v>
      </c>
      <c r="J23" t="s">
        <v>10</v>
      </c>
      <c r="K23">
        <f t="shared" si="0"/>
        <v>176.53831361545133</v>
      </c>
      <c r="L23" s="56">
        <f t="shared" si="1"/>
        <v>38.200000000000003</v>
      </c>
      <c r="M23" s="56">
        <f t="shared" si="2"/>
        <v>127.20000000000002</v>
      </c>
      <c r="N23" s="56">
        <f t="shared" si="3"/>
        <v>139.19999999999999</v>
      </c>
      <c r="O23" s="56">
        <f t="shared" si="4"/>
        <v>228.2</v>
      </c>
    </row>
    <row r="24" spans="1:15" x14ac:dyDescent="0.25">
      <c r="A24" s="13">
        <v>22</v>
      </c>
      <c r="B24" s="13">
        <v>23</v>
      </c>
      <c r="C24" s="14">
        <v>0.31597222222222221</v>
      </c>
      <c r="D24" s="14">
        <v>0.625</v>
      </c>
      <c r="E24" s="14">
        <v>0.6875</v>
      </c>
      <c r="F24" s="14">
        <v>0.99652777777777779</v>
      </c>
      <c r="G24" s="13">
        <v>97.608770576131477</v>
      </c>
      <c r="H24" s="13">
        <v>78.929543039319853</v>
      </c>
      <c r="I24" s="15">
        <v>183</v>
      </c>
      <c r="J24" t="s">
        <v>10</v>
      </c>
      <c r="K24">
        <f t="shared" si="0"/>
        <v>176.53831361545133</v>
      </c>
      <c r="L24" s="56">
        <f t="shared" si="1"/>
        <v>43.2</v>
      </c>
      <c r="M24" s="56">
        <f t="shared" si="2"/>
        <v>132.19999999999999</v>
      </c>
      <c r="N24" s="56">
        <f t="shared" si="3"/>
        <v>150.19999999999999</v>
      </c>
      <c r="O24" s="56">
        <f t="shared" si="4"/>
        <v>239.2</v>
      </c>
    </row>
    <row r="25" spans="1:15" x14ac:dyDescent="0.25">
      <c r="A25" s="13">
        <v>23</v>
      </c>
      <c r="B25" s="13">
        <v>24</v>
      </c>
      <c r="C25" s="14">
        <v>0.33680555555555558</v>
      </c>
      <c r="D25" s="14">
        <v>0.64583333333333337</v>
      </c>
      <c r="E25" s="14">
        <v>0.69444444444444453</v>
      </c>
      <c r="F25" s="14">
        <v>3.472222222222222E-3</v>
      </c>
      <c r="G25" s="13">
        <v>97.608770576131477</v>
      </c>
      <c r="H25" s="13">
        <v>78.929543039319853</v>
      </c>
      <c r="I25" s="15">
        <v>183</v>
      </c>
      <c r="J25" t="s">
        <v>10</v>
      </c>
      <c r="K25">
        <f t="shared" si="0"/>
        <v>176.53831361545133</v>
      </c>
      <c r="L25" s="56">
        <f t="shared" si="1"/>
        <v>49.20000000000001</v>
      </c>
      <c r="M25" s="56">
        <f t="shared" si="2"/>
        <v>138.19999999999999</v>
      </c>
      <c r="N25" s="56">
        <f t="shared" si="3"/>
        <v>152.20000000000002</v>
      </c>
      <c r="O25" s="56">
        <f>(1440+CONVERT(F25,"day","mn")-239)/5</f>
        <v>241.2</v>
      </c>
    </row>
    <row r="26" spans="1:15" x14ac:dyDescent="0.25">
      <c r="A26" s="13">
        <v>24</v>
      </c>
      <c r="B26" s="13">
        <v>25</v>
      </c>
      <c r="C26" s="14">
        <v>0.34722222222222227</v>
      </c>
      <c r="D26" s="14">
        <v>0.65277777777777779</v>
      </c>
      <c r="E26" s="14"/>
      <c r="F26" s="14"/>
      <c r="G26" s="13">
        <v>97.608770576131477</v>
      </c>
      <c r="H26" s="13">
        <v>0</v>
      </c>
      <c r="I26" s="15">
        <v>183</v>
      </c>
      <c r="J26" t="s">
        <v>10</v>
      </c>
      <c r="K26">
        <f t="shared" si="0"/>
        <v>97.608770576131477</v>
      </c>
      <c r="L26" s="56">
        <f t="shared" si="1"/>
        <v>52.20000000000001</v>
      </c>
      <c r="M26" s="56">
        <f t="shared" si="2"/>
        <v>140.19999999999999</v>
      </c>
      <c r="N26" s="56">
        <v>0</v>
      </c>
      <c r="O26" s="56">
        <v>0</v>
      </c>
    </row>
    <row r="27" spans="1:15" x14ac:dyDescent="0.25">
      <c r="A27" s="16">
        <v>25</v>
      </c>
      <c r="B27" s="16">
        <v>26</v>
      </c>
      <c r="C27" s="17">
        <v>0.19444444444444445</v>
      </c>
      <c r="D27" s="17">
        <v>0.50347222222222221</v>
      </c>
      <c r="E27" s="17">
        <v>0.54513888888888895</v>
      </c>
      <c r="F27" s="17">
        <v>0.84722222222222221</v>
      </c>
      <c r="G27" s="16">
        <v>109.07694375857339</v>
      </c>
      <c r="H27" s="16">
        <v>80.852958546280504</v>
      </c>
      <c r="I27" s="18">
        <v>199</v>
      </c>
      <c r="J27" t="s">
        <v>10</v>
      </c>
      <c r="K27">
        <f t="shared" si="0"/>
        <v>189.9299023048539</v>
      </c>
      <c r="L27" s="56">
        <f t="shared" si="1"/>
        <v>8.1999999999999993</v>
      </c>
      <c r="M27" s="56">
        <f t="shared" si="2"/>
        <v>97.2</v>
      </c>
      <c r="N27" s="56">
        <f t="shared" si="3"/>
        <v>109.20000000000002</v>
      </c>
      <c r="O27" s="56">
        <f t="shared" si="4"/>
        <v>196.2</v>
      </c>
    </row>
    <row r="28" spans="1:15" x14ac:dyDescent="0.25">
      <c r="A28" s="16">
        <v>26</v>
      </c>
      <c r="B28" s="16">
        <v>27</v>
      </c>
      <c r="C28" s="17">
        <v>0.20833333333333334</v>
      </c>
      <c r="D28" s="17">
        <v>0.51736111111111105</v>
      </c>
      <c r="E28" s="17">
        <v>0.55902777777777779</v>
      </c>
      <c r="F28" s="17">
        <v>0.86805555555555547</v>
      </c>
      <c r="G28" s="16">
        <v>109.07694375857339</v>
      </c>
      <c r="H28" s="16">
        <v>80.852958546280504</v>
      </c>
      <c r="I28" s="18">
        <v>199</v>
      </c>
      <c r="J28" t="s">
        <v>10</v>
      </c>
      <c r="K28">
        <f t="shared" si="0"/>
        <v>189.9299023048539</v>
      </c>
      <c r="L28" s="56">
        <f t="shared" si="1"/>
        <v>12.2</v>
      </c>
      <c r="M28" s="56">
        <f t="shared" si="2"/>
        <v>101.19999999999997</v>
      </c>
      <c r="N28" s="56">
        <f t="shared" si="3"/>
        <v>113.2</v>
      </c>
      <c r="O28" s="56">
        <f t="shared" si="4"/>
        <v>202.19999999999996</v>
      </c>
    </row>
    <row r="29" spans="1:15" x14ac:dyDescent="0.25">
      <c r="A29" s="16">
        <v>27</v>
      </c>
      <c r="B29" s="16">
        <v>28</v>
      </c>
      <c r="C29" s="17">
        <v>0.22222222222222199</v>
      </c>
      <c r="D29" s="17">
        <v>0.53472222222222221</v>
      </c>
      <c r="E29" s="17">
        <v>0.57291666666666696</v>
      </c>
      <c r="F29" s="17">
        <v>0.88541666666666663</v>
      </c>
      <c r="G29" s="16">
        <v>109.07694375857339</v>
      </c>
      <c r="H29" s="16">
        <v>80.852958546280504</v>
      </c>
      <c r="I29" s="18">
        <v>199</v>
      </c>
      <c r="J29" t="s">
        <v>10</v>
      </c>
      <c r="K29">
        <f t="shared" si="0"/>
        <v>189.9299023048539</v>
      </c>
      <c r="L29" s="56">
        <f t="shared" si="1"/>
        <v>16.199999999999932</v>
      </c>
      <c r="M29" s="56">
        <f t="shared" si="2"/>
        <v>106.2</v>
      </c>
      <c r="N29" s="56">
        <f t="shared" si="3"/>
        <v>117.20000000000009</v>
      </c>
      <c r="O29" s="56">
        <f t="shared" si="4"/>
        <v>207.2</v>
      </c>
    </row>
    <row r="30" spans="1:15" x14ac:dyDescent="0.25">
      <c r="A30" s="16">
        <v>28</v>
      </c>
      <c r="B30" s="16">
        <v>29</v>
      </c>
      <c r="C30" s="17">
        <v>0.23611111111111099</v>
      </c>
      <c r="D30" s="17">
        <v>0.54513888888888895</v>
      </c>
      <c r="E30" s="17">
        <v>0.58680555555555503</v>
      </c>
      <c r="F30" s="17">
        <v>0.89583333333333337</v>
      </c>
      <c r="G30" s="16">
        <v>109.07694375857339</v>
      </c>
      <c r="H30" s="16">
        <v>80.852958546280504</v>
      </c>
      <c r="I30" s="18">
        <v>199</v>
      </c>
      <c r="J30" t="s">
        <v>10</v>
      </c>
      <c r="K30">
        <f t="shared" si="0"/>
        <v>189.9299023048539</v>
      </c>
      <c r="L30" s="56">
        <f t="shared" si="1"/>
        <v>20.199999999999967</v>
      </c>
      <c r="M30" s="56">
        <f t="shared" si="2"/>
        <v>109.20000000000002</v>
      </c>
      <c r="N30" s="56">
        <f t="shared" si="3"/>
        <v>121.19999999999986</v>
      </c>
      <c r="O30" s="56">
        <f t="shared" si="4"/>
        <v>210.2</v>
      </c>
    </row>
    <row r="31" spans="1:15" x14ac:dyDescent="0.25">
      <c r="A31" s="16">
        <v>29</v>
      </c>
      <c r="B31" s="16">
        <v>30</v>
      </c>
      <c r="C31" s="17">
        <v>0.24652777777777779</v>
      </c>
      <c r="D31" s="17">
        <v>0.55555555555555558</v>
      </c>
      <c r="E31" s="17">
        <v>0.59722222222222221</v>
      </c>
      <c r="F31" s="17">
        <v>0.90625</v>
      </c>
      <c r="G31" s="16">
        <v>109.07694375857339</v>
      </c>
      <c r="H31" s="16">
        <v>80.852958546280504</v>
      </c>
      <c r="I31" s="18">
        <v>199</v>
      </c>
      <c r="J31" t="s">
        <v>10</v>
      </c>
      <c r="K31">
        <f t="shared" si="0"/>
        <v>189.9299023048539</v>
      </c>
      <c r="L31" s="56">
        <f t="shared" si="1"/>
        <v>23.2</v>
      </c>
      <c r="M31" s="56">
        <f t="shared" si="2"/>
        <v>112.2</v>
      </c>
      <c r="N31" s="56">
        <f t="shared" si="3"/>
        <v>124.2</v>
      </c>
      <c r="O31" s="56">
        <f t="shared" si="4"/>
        <v>213.2</v>
      </c>
    </row>
    <row r="32" spans="1:15" x14ac:dyDescent="0.25">
      <c r="A32" s="16">
        <v>30</v>
      </c>
      <c r="B32" s="16">
        <v>31</v>
      </c>
      <c r="C32" s="17">
        <v>0.25694444444444448</v>
      </c>
      <c r="D32" s="17">
        <v>0.56597222222222221</v>
      </c>
      <c r="E32" s="17">
        <v>0.60763888888888895</v>
      </c>
      <c r="F32" s="17">
        <v>0.91666666666666663</v>
      </c>
      <c r="G32" s="16">
        <v>109.07694375857339</v>
      </c>
      <c r="H32" s="16">
        <v>80.852958546280504</v>
      </c>
      <c r="I32" s="18">
        <v>199</v>
      </c>
      <c r="J32" t="s">
        <v>10</v>
      </c>
      <c r="K32">
        <f t="shared" si="0"/>
        <v>189.9299023048539</v>
      </c>
      <c r="L32" s="56">
        <f t="shared" si="1"/>
        <v>26.20000000000001</v>
      </c>
      <c r="M32" s="56">
        <f t="shared" si="2"/>
        <v>115.2</v>
      </c>
      <c r="N32" s="56">
        <f t="shared" si="3"/>
        <v>127.20000000000002</v>
      </c>
      <c r="O32" s="56">
        <f t="shared" si="4"/>
        <v>216.2</v>
      </c>
    </row>
    <row r="33" spans="1:15" x14ac:dyDescent="0.25">
      <c r="A33" s="16">
        <v>31</v>
      </c>
      <c r="B33" s="16">
        <v>32</v>
      </c>
      <c r="C33" s="17">
        <v>0.26736111111111099</v>
      </c>
      <c r="D33" s="17">
        <v>0.57638888888888895</v>
      </c>
      <c r="E33" s="17">
        <v>0.61805555555555558</v>
      </c>
      <c r="F33" s="17">
        <v>0.92708333333333337</v>
      </c>
      <c r="G33" s="16">
        <v>109.07694375857339</v>
      </c>
      <c r="H33" s="16">
        <v>80.852958546280504</v>
      </c>
      <c r="I33" s="18">
        <v>199</v>
      </c>
      <c r="J33" t="s">
        <v>10</v>
      </c>
      <c r="K33">
        <f t="shared" si="0"/>
        <v>189.9299023048539</v>
      </c>
      <c r="L33" s="56">
        <f t="shared" si="1"/>
        <v>29.199999999999967</v>
      </c>
      <c r="M33" s="56">
        <f t="shared" si="2"/>
        <v>118.20000000000002</v>
      </c>
      <c r="N33" s="56">
        <f t="shared" si="3"/>
        <v>130.19999999999999</v>
      </c>
      <c r="O33" s="56">
        <f t="shared" si="4"/>
        <v>219.2</v>
      </c>
    </row>
    <row r="34" spans="1:15" x14ac:dyDescent="0.25">
      <c r="A34" s="16">
        <v>32</v>
      </c>
      <c r="B34" s="16">
        <v>33</v>
      </c>
      <c r="C34" s="17">
        <v>0.27777777777777801</v>
      </c>
      <c r="D34" s="17">
        <v>0.58680555555555558</v>
      </c>
      <c r="E34" s="17">
        <v>0.62847222222222221</v>
      </c>
      <c r="F34" s="17">
        <v>0.9375</v>
      </c>
      <c r="G34" s="16">
        <v>109.07694375857339</v>
      </c>
      <c r="H34" s="16">
        <v>80.852958546280504</v>
      </c>
      <c r="I34" s="18">
        <v>199</v>
      </c>
      <c r="J34" t="s">
        <v>10</v>
      </c>
      <c r="K34">
        <f t="shared" si="0"/>
        <v>189.9299023048539</v>
      </c>
      <c r="L34" s="56">
        <f t="shared" si="1"/>
        <v>32.200000000000067</v>
      </c>
      <c r="M34" s="56">
        <f t="shared" si="2"/>
        <v>121.2</v>
      </c>
      <c r="N34" s="56">
        <f t="shared" si="3"/>
        <v>133.19999999999999</v>
      </c>
      <c r="O34" s="56">
        <f t="shared" si="4"/>
        <v>222.2</v>
      </c>
    </row>
    <row r="35" spans="1:15" x14ac:dyDescent="0.25">
      <c r="A35" s="16">
        <v>33</v>
      </c>
      <c r="B35" s="16">
        <v>34</v>
      </c>
      <c r="C35" s="17">
        <v>0.28819444444444398</v>
      </c>
      <c r="D35" s="17">
        <v>0.59722222222222221</v>
      </c>
      <c r="E35" s="17">
        <v>0.65972222222222221</v>
      </c>
      <c r="F35" s="17">
        <v>0.96875</v>
      </c>
      <c r="G35" s="16">
        <v>109.07694375857339</v>
      </c>
      <c r="H35" s="16">
        <v>80.852958546280504</v>
      </c>
      <c r="I35" s="18">
        <v>199</v>
      </c>
      <c r="J35" t="s">
        <v>10</v>
      </c>
      <c r="K35">
        <f t="shared" si="0"/>
        <v>189.9299023048539</v>
      </c>
      <c r="L35" s="56">
        <f t="shared" si="1"/>
        <v>35.199999999999861</v>
      </c>
      <c r="M35" s="56">
        <f t="shared" si="2"/>
        <v>124.2</v>
      </c>
      <c r="N35" s="56">
        <f t="shared" si="3"/>
        <v>142.19999999999999</v>
      </c>
      <c r="O35" s="56">
        <f t="shared" si="4"/>
        <v>231.2</v>
      </c>
    </row>
    <row r="36" spans="1:15" x14ac:dyDescent="0.25">
      <c r="A36" s="16">
        <v>34</v>
      </c>
      <c r="B36" s="16">
        <v>35</v>
      </c>
      <c r="C36" s="17">
        <v>0.29861111111111099</v>
      </c>
      <c r="D36" s="17">
        <v>0.60763888888888895</v>
      </c>
      <c r="E36" s="17">
        <v>0.67013888888888884</v>
      </c>
      <c r="F36" s="17">
        <v>0.97916666666666663</v>
      </c>
      <c r="G36" s="16">
        <v>109.07694375857339</v>
      </c>
      <c r="H36" s="16">
        <v>80.852958546280504</v>
      </c>
      <c r="I36" s="18">
        <v>199</v>
      </c>
      <c r="J36" t="s">
        <v>10</v>
      </c>
      <c r="K36">
        <f t="shared" si="0"/>
        <v>189.9299023048539</v>
      </c>
      <c r="L36" s="56">
        <f t="shared" si="1"/>
        <v>38.199999999999967</v>
      </c>
      <c r="M36" s="56">
        <f t="shared" si="2"/>
        <v>127.20000000000002</v>
      </c>
      <c r="N36" s="56">
        <f t="shared" si="3"/>
        <v>145.19999999999999</v>
      </c>
      <c r="O36" s="56">
        <f t="shared" si="4"/>
        <v>234.2</v>
      </c>
    </row>
    <row r="37" spans="1:15" x14ac:dyDescent="0.25">
      <c r="A37" s="16">
        <v>35</v>
      </c>
      <c r="B37" s="16">
        <v>36</v>
      </c>
      <c r="C37" s="17">
        <v>0.30902777777777801</v>
      </c>
      <c r="D37" s="17">
        <v>0.61805555555555558</v>
      </c>
      <c r="E37" s="17">
        <v>0.68055555555555547</v>
      </c>
      <c r="F37" s="17">
        <v>0.98958333333333337</v>
      </c>
      <c r="G37" s="16">
        <v>109.07694375857339</v>
      </c>
      <c r="H37" s="16">
        <v>80.852958546280504</v>
      </c>
      <c r="I37" s="18">
        <v>199</v>
      </c>
      <c r="J37" t="s">
        <v>10</v>
      </c>
      <c r="K37">
        <f t="shared" si="0"/>
        <v>189.9299023048539</v>
      </c>
      <c r="L37" s="56">
        <f t="shared" si="1"/>
        <v>41.200000000000067</v>
      </c>
      <c r="M37" s="56">
        <f t="shared" si="2"/>
        <v>130.19999999999999</v>
      </c>
      <c r="N37" s="56">
        <f t="shared" si="3"/>
        <v>148.19999999999999</v>
      </c>
      <c r="O37" s="56">
        <f t="shared" si="4"/>
        <v>237.2</v>
      </c>
    </row>
    <row r="38" spans="1:15" x14ac:dyDescent="0.25">
      <c r="A38" s="16">
        <v>36</v>
      </c>
      <c r="B38" s="16">
        <v>37</v>
      </c>
      <c r="C38" s="17">
        <v>0.31944444444444497</v>
      </c>
      <c r="D38" s="17">
        <v>0.62847222222222221</v>
      </c>
      <c r="E38" s="17">
        <v>0.69097222222222221</v>
      </c>
      <c r="F38" s="17">
        <v>6.9444444444444441E-3</v>
      </c>
      <c r="G38" s="16">
        <v>109.07694375857339</v>
      </c>
      <c r="H38" s="16">
        <v>80.852958546280504</v>
      </c>
      <c r="I38" s="18">
        <v>199</v>
      </c>
      <c r="J38" t="s">
        <v>10</v>
      </c>
      <c r="K38">
        <f t="shared" si="0"/>
        <v>189.9299023048539</v>
      </c>
      <c r="L38" s="56">
        <f t="shared" si="1"/>
        <v>44.200000000000159</v>
      </c>
      <c r="M38" s="56">
        <f t="shared" si="2"/>
        <v>133.19999999999999</v>
      </c>
      <c r="N38" s="56">
        <f t="shared" si="3"/>
        <v>151.19999999999999</v>
      </c>
      <c r="O38" s="56">
        <f>(1440+CONVERT(F38,"day","mn")-239)/5</f>
        <v>242.2</v>
      </c>
    </row>
    <row r="39" spans="1:15" x14ac:dyDescent="0.25">
      <c r="A39" s="16">
        <v>37</v>
      </c>
      <c r="B39" s="16">
        <v>38</v>
      </c>
      <c r="C39" s="17">
        <v>0.32986111111111099</v>
      </c>
      <c r="D39" s="17">
        <v>0.63888888888888895</v>
      </c>
      <c r="E39" s="17">
        <v>0.70138888888888884</v>
      </c>
      <c r="F39" s="17">
        <v>1.0416666666666666E-2</v>
      </c>
      <c r="G39" s="16">
        <v>109.07694375857339</v>
      </c>
      <c r="H39" s="16">
        <v>80.852958546280504</v>
      </c>
      <c r="I39" s="18">
        <v>199</v>
      </c>
      <c r="J39" t="s">
        <v>10</v>
      </c>
      <c r="K39">
        <f t="shared" si="0"/>
        <v>189.9299023048539</v>
      </c>
      <c r="L39" s="56">
        <f t="shared" si="1"/>
        <v>47.199999999999967</v>
      </c>
      <c r="M39" s="56">
        <f t="shared" si="2"/>
        <v>136.20000000000002</v>
      </c>
      <c r="N39" s="56">
        <f t="shared" si="3"/>
        <v>154.19999999999999</v>
      </c>
      <c r="O39" s="56">
        <f>(1440+CONVERT(F39,"day","mn")-239)/5</f>
        <v>243.2</v>
      </c>
    </row>
    <row r="40" spans="1:15" x14ac:dyDescent="0.25">
      <c r="A40" s="16">
        <v>38</v>
      </c>
      <c r="B40" s="16">
        <v>39</v>
      </c>
      <c r="C40" s="17">
        <v>0.34027777777777801</v>
      </c>
      <c r="D40" s="17">
        <v>0.64930555555555558</v>
      </c>
      <c r="E40" s="17"/>
      <c r="F40" s="17"/>
      <c r="G40" s="16">
        <v>109.07694375857339</v>
      </c>
      <c r="H40" s="16">
        <v>0</v>
      </c>
      <c r="I40" s="18">
        <v>199</v>
      </c>
      <c r="J40" t="s">
        <v>10</v>
      </c>
      <c r="K40">
        <f t="shared" si="0"/>
        <v>109.07694375857339</v>
      </c>
      <c r="L40" s="56">
        <f t="shared" si="1"/>
        <v>50.200000000000067</v>
      </c>
      <c r="M40" s="56">
        <f t="shared" si="2"/>
        <v>139.19999999999999</v>
      </c>
      <c r="N40" s="56">
        <v>0</v>
      </c>
      <c r="O40" s="56">
        <v>0</v>
      </c>
    </row>
    <row r="41" spans="1:15" x14ac:dyDescent="0.25">
      <c r="A41" s="16">
        <v>39</v>
      </c>
      <c r="B41" s="16">
        <v>40</v>
      </c>
      <c r="C41" s="17">
        <v>0.35069444444444497</v>
      </c>
      <c r="D41" s="17">
        <v>0.65972222222222221</v>
      </c>
      <c r="E41" s="17"/>
      <c r="F41" s="17"/>
      <c r="G41" s="16">
        <v>109.07694375857339</v>
      </c>
      <c r="H41" s="16">
        <v>0</v>
      </c>
      <c r="I41" s="18">
        <v>199</v>
      </c>
      <c r="J41" t="s">
        <v>10</v>
      </c>
      <c r="K41">
        <f t="shared" si="0"/>
        <v>109.07694375857339</v>
      </c>
      <c r="L41" s="56">
        <f t="shared" si="1"/>
        <v>53.200000000000159</v>
      </c>
      <c r="M41" s="56">
        <f t="shared" si="2"/>
        <v>142.19999999999999</v>
      </c>
      <c r="N41" s="56">
        <v>0</v>
      </c>
      <c r="O41" s="56">
        <v>0</v>
      </c>
    </row>
    <row r="42" spans="1:15" x14ac:dyDescent="0.25">
      <c r="A42" s="19">
        <v>40</v>
      </c>
      <c r="B42" s="19">
        <v>41</v>
      </c>
      <c r="C42" s="20">
        <v>0.16666666666666666</v>
      </c>
      <c r="D42" s="20">
        <v>0.4861111111111111</v>
      </c>
      <c r="E42" s="20">
        <v>0.54166666666666663</v>
      </c>
      <c r="F42" s="20">
        <v>0.86111111111111116</v>
      </c>
      <c r="G42" s="19">
        <v>118.95720713305883</v>
      </c>
      <c r="H42" s="19">
        <v>113.20233608815433</v>
      </c>
      <c r="I42" s="21">
        <v>889</v>
      </c>
      <c r="J42" t="s">
        <v>10</v>
      </c>
      <c r="K42">
        <f t="shared" si="0"/>
        <v>232.15954322121314</v>
      </c>
      <c r="L42" s="56">
        <f t="shared" si="1"/>
        <v>0.2</v>
      </c>
      <c r="M42" s="56">
        <f t="shared" si="2"/>
        <v>92.2</v>
      </c>
      <c r="N42" s="56">
        <f t="shared" si="3"/>
        <v>108.2</v>
      </c>
      <c r="O42" s="56">
        <f t="shared" si="4"/>
        <v>200.2</v>
      </c>
    </row>
    <row r="43" spans="1:15" x14ac:dyDescent="0.25">
      <c r="A43" s="19">
        <v>41</v>
      </c>
      <c r="B43" s="19">
        <v>42</v>
      </c>
      <c r="C43" s="20">
        <v>0.17708333333333334</v>
      </c>
      <c r="D43" s="20">
        <v>0.49652777777777773</v>
      </c>
      <c r="E43" s="20">
        <v>0.55208333333333337</v>
      </c>
      <c r="F43" s="20">
        <v>0.87152777777777779</v>
      </c>
      <c r="G43" s="19">
        <v>118.95720713305883</v>
      </c>
      <c r="H43" s="19">
        <v>113.20233608815433</v>
      </c>
      <c r="I43" s="21">
        <v>889</v>
      </c>
      <c r="J43" t="s">
        <v>10</v>
      </c>
      <c r="K43">
        <f t="shared" si="0"/>
        <v>232.15954322121314</v>
      </c>
      <c r="L43" s="56">
        <f t="shared" si="1"/>
        <v>3.2</v>
      </c>
      <c r="M43" s="56">
        <f t="shared" si="2"/>
        <v>95.199999999999974</v>
      </c>
      <c r="N43" s="56">
        <f t="shared" si="3"/>
        <v>111.2</v>
      </c>
      <c r="O43" s="56">
        <f t="shared" si="4"/>
        <v>203.2</v>
      </c>
    </row>
    <row r="44" spans="1:15" x14ac:dyDescent="0.25">
      <c r="A44" s="19">
        <v>42</v>
      </c>
      <c r="B44" s="19">
        <v>43</v>
      </c>
      <c r="C44" s="20">
        <v>0.1875</v>
      </c>
      <c r="D44" s="20">
        <v>0.50694444444444442</v>
      </c>
      <c r="E44" s="20">
        <v>0.5625</v>
      </c>
      <c r="F44" s="20">
        <v>0.88194444444444398</v>
      </c>
      <c r="G44" s="19">
        <v>118.95720713305883</v>
      </c>
      <c r="H44" s="19">
        <v>113.20233608815433</v>
      </c>
      <c r="I44" s="21">
        <v>889</v>
      </c>
      <c r="J44" t="s">
        <v>10</v>
      </c>
      <c r="K44">
        <f t="shared" si="0"/>
        <v>232.15954322121314</v>
      </c>
      <c r="L44" s="56">
        <f t="shared" si="1"/>
        <v>6.2</v>
      </c>
      <c r="M44" s="56">
        <f t="shared" si="2"/>
        <v>98.2</v>
      </c>
      <c r="N44" s="56">
        <f t="shared" si="3"/>
        <v>114.2</v>
      </c>
      <c r="O44" s="56">
        <f t="shared" si="4"/>
        <v>206.19999999999987</v>
      </c>
    </row>
    <row r="45" spans="1:15" x14ac:dyDescent="0.25">
      <c r="A45" s="19">
        <v>43</v>
      </c>
      <c r="B45" s="19">
        <v>44</v>
      </c>
      <c r="C45" s="20">
        <v>0.19791666666666666</v>
      </c>
      <c r="D45" s="20">
        <v>0.51736111111111105</v>
      </c>
      <c r="E45" s="20">
        <v>0.57291666666666696</v>
      </c>
      <c r="F45" s="20">
        <v>0.89236111111111105</v>
      </c>
      <c r="G45" s="19">
        <v>118.95720713305883</v>
      </c>
      <c r="H45" s="19">
        <v>113.20233608815433</v>
      </c>
      <c r="I45" s="21">
        <v>889</v>
      </c>
      <c r="J45" t="s">
        <v>10</v>
      </c>
      <c r="K45">
        <f t="shared" si="0"/>
        <v>232.15954322121314</v>
      </c>
      <c r="L45" s="56">
        <f t="shared" si="1"/>
        <v>9.1999999999999993</v>
      </c>
      <c r="M45" s="56">
        <f t="shared" si="2"/>
        <v>101.19999999999997</v>
      </c>
      <c r="N45" s="56">
        <f t="shared" si="3"/>
        <v>117.20000000000009</v>
      </c>
      <c r="O45" s="56">
        <f t="shared" si="4"/>
        <v>209.2</v>
      </c>
    </row>
    <row r="46" spans="1:15" x14ac:dyDescent="0.25">
      <c r="A46" s="19">
        <v>44</v>
      </c>
      <c r="B46" s="19">
        <v>45</v>
      </c>
      <c r="C46" s="20">
        <v>0.20833333333333334</v>
      </c>
      <c r="D46" s="20">
        <v>0.52777777777777779</v>
      </c>
      <c r="E46" s="20">
        <v>0.58333333333333404</v>
      </c>
      <c r="F46" s="20">
        <v>0.90277777777777801</v>
      </c>
      <c r="G46" s="19">
        <v>118.95720713305883</v>
      </c>
      <c r="H46" s="19">
        <v>113.20233608815433</v>
      </c>
      <c r="I46" s="21">
        <v>889</v>
      </c>
      <c r="J46" t="s">
        <v>10</v>
      </c>
      <c r="K46">
        <f t="shared" si="0"/>
        <v>232.15954322121314</v>
      </c>
      <c r="L46" s="56">
        <f t="shared" si="1"/>
        <v>12.2</v>
      </c>
      <c r="M46" s="56">
        <f t="shared" si="2"/>
        <v>104.2</v>
      </c>
      <c r="N46" s="56">
        <f t="shared" si="3"/>
        <v>120.2000000000002</v>
      </c>
      <c r="O46" s="56">
        <f t="shared" si="4"/>
        <v>212.20000000000005</v>
      </c>
    </row>
    <row r="47" spans="1:15" x14ac:dyDescent="0.25">
      <c r="A47" s="19">
        <v>45</v>
      </c>
      <c r="B47" s="19">
        <v>46</v>
      </c>
      <c r="C47" s="20">
        <v>0.21875</v>
      </c>
      <c r="D47" s="20">
        <v>0.53819444444444442</v>
      </c>
      <c r="E47" s="20">
        <v>0.59375</v>
      </c>
      <c r="F47" s="20">
        <v>0.91319444444444398</v>
      </c>
      <c r="G47" s="19">
        <v>118.95720713305883</v>
      </c>
      <c r="H47" s="19">
        <v>113.20233608815433</v>
      </c>
      <c r="I47" s="21">
        <v>889</v>
      </c>
      <c r="J47" t="s">
        <v>10</v>
      </c>
      <c r="K47">
        <f t="shared" si="0"/>
        <v>232.15954322121314</v>
      </c>
      <c r="L47" s="56">
        <f t="shared" si="1"/>
        <v>15.2</v>
      </c>
      <c r="M47" s="56">
        <f t="shared" si="2"/>
        <v>107.2</v>
      </c>
      <c r="N47" s="56">
        <f t="shared" si="3"/>
        <v>123.2</v>
      </c>
      <c r="O47" s="56">
        <f t="shared" si="4"/>
        <v>215.19999999999987</v>
      </c>
    </row>
    <row r="48" spans="1:15" x14ac:dyDescent="0.25">
      <c r="A48" s="19">
        <v>46</v>
      </c>
      <c r="B48" s="19">
        <v>47</v>
      </c>
      <c r="C48" s="20">
        <v>0.22916666666666666</v>
      </c>
      <c r="D48" s="20">
        <v>0.54861111111111105</v>
      </c>
      <c r="E48" s="20">
        <v>0.60416666666666696</v>
      </c>
      <c r="F48" s="20">
        <v>0.92361111111111105</v>
      </c>
      <c r="G48" s="19">
        <v>118.95720713305883</v>
      </c>
      <c r="H48" s="19">
        <v>113.20233608815433</v>
      </c>
      <c r="I48" s="21">
        <v>889</v>
      </c>
      <c r="J48" t="s">
        <v>10</v>
      </c>
      <c r="K48">
        <f t="shared" si="0"/>
        <v>232.15954322121314</v>
      </c>
      <c r="L48" s="56">
        <f t="shared" si="1"/>
        <v>18.2</v>
      </c>
      <c r="M48" s="56">
        <f t="shared" si="2"/>
        <v>110.19999999999997</v>
      </c>
      <c r="N48" s="56">
        <f t="shared" si="3"/>
        <v>126.20000000000009</v>
      </c>
      <c r="O48" s="56">
        <f t="shared" si="4"/>
        <v>218.2</v>
      </c>
    </row>
    <row r="49" spans="1:15" x14ac:dyDescent="0.25">
      <c r="A49" s="19">
        <v>47</v>
      </c>
      <c r="B49" s="19">
        <v>48</v>
      </c>
      <c r="C49" s="20">
        <v>0.23958333333333334</v>
      </c>
      <c r="D49" s="20">
        <v>0.55902777777777779</v>
      </c>
      <c r="E49" s="20">
        <v>0.61458333333333404</v>
      </c>
      <c r="F49" s="20">
        <v>0.93402777777777801</v>
      </c>
      <c r="G49" s="19">
        <v>118.95720713305883</v>
      </c>
      <c r="H49" s="19">
        <v>113.20233608815433</v>
      </c>
      <c r="I49" s="21">
        <v>889</v>
      </c>
      <c r="J49" t="s">
        <v>10</v>
      </c>
      <c r="K49">
        <f t="shared" si="0"/>
        <v>232.15954322121314</v>
      </c>
      <c r="L49" s="56">
        <f t="shared" si="1"/>
        <v>21.2</v>
      </c>
      <c r="M49" s="56">
        <f t="shared" si="2"/>
        <v>113.2</v>
      </c>
      <c r="N49" s="56">
        <f t="shared" si="3"/>
        <v>129.20000000000022</v>
      </c>
      <c r="O49" s="56">
        <f t="shared" si="4"/>
        <v>221.20000000000005</v>
      </c>
    </row>
    <row r="50" spans="1:15" x14ac:dyDescent="0.25">
      <c r="A50" s="19">
        <v>48</v>
      </c>
      <c r="B50" s="19">
        <v>49</v>
      </c>
      <c r="C50" s="20">
        <v>0.25</v>
      </c>
      <c r="D50" s="20">
        <v>0.56944444444444442</v>
      </c>
      <c r="E50" s="20">
        <v>0.625000000000001</v>
      </c>
      <c r="F50" s="20">
        <v>0.94444444444444398</v>
      </c>
      <c r="G50" s="19">
        <v>118.95720713305883</v>
      </c>
      <c r="H50" s="19">
        <v>113.20233608815433</v>
      </c>
      <c r="I50" s="21">
        <v>889</v>
      </c>
      <c r="J50" t="s">
        <v>10</v>
      </c>
      <c r="K50">
        <f t="shared" si="0"/>
        <v>232.15954322121314</v>
      </c>
      <c r="L50" s="56">
        <f t="shared" si="1"/>
        <v>24.2</v>
      </c>
      <c r="M50" s="56">
        <f t="shared" si="2"/>
        <v>116.2</v>
      </c>
      <c r="N50" s="56">
        <f t="shared" si="3"/>
        <v>132.2000000000003</v>
      </c>
      <c r="O50" s="56">
        <f t="shared" si="4"/>
        <v>224.19999999999987</v>
      </c>
    </row>
    <row r="51" spans="1:15" x14ac:dyDescent="0.25">
      <c r="A51" s="19">
        <v>49</v>
      </c>
      <c r="B51" s="19">
        <v>50</v>
      </c>
      <c r="C51" s="20">
        <v>0.26041666666666669</v>
      </c>
      <c r="D51" s="20">
        <v>0.57986111111111105</v>
      </c>
      <c r="E51" s="20">
        <v>0.63541666666666696</v>
      </c>
      <c r="F51" s="20">
        <v>0.95486111111111105</v>
      </c>
      <c r="G51" s="19">
        <v>118.95720713305883</v>
      </c>
      <c r="H51" s="19">
        <v>113.20233608815433</v>
      </c>
      <c r="I51" s="21">
        <v>889</v>
      </c>
      <c r="J51" t="s">
        <v>10</v>
      </c>
      <c r="K51">
        <f t="shared" si="0"/>
        <v>232.15954322121314</v>
      </c>
      <c r="L51" s="56">
        <f t="shared" si="1"/>
        <v>27.2</v>
      </c>
      <c r="M51" s="56">
        <f t="shared" si="2"/>
        <v>119.19999999999997</v>
      </c>
      <c r="N51" s="56">
        <f t="shared" si="3"/>
        <v>135.2000000000001</v>
      </c>
      <c r="O51" s="56">
        <f t="shared" si="4"/>
        <v>227.2</v>
      </c>
    </row>
    <row r="52" spans="1:15" x14ac:dyDescent="0.25">
      <c r="A52" s="19">
        <v>50</v>
      </c>
      <c r="B52" s="19">
        <v>51</v>
      </c>
      <c r="C52" s="20">
        <v>0.27083333333333331</v>
      </c>
      <c r="D52" s="20">
        <v>0.59027777777777779</v>
      </c>
      <c r="E52" s="20">
        <v>0.64583333333333404</v>
      </c>
      <c r="F52" s="20">
        <v>0.96527777777777701</v>
      </c>
      <c r="G52" s="19">
        <v>118.95720713305883</v>
      </c>
      <c r="H52" s="19">
        <v>113.20233608815433</v>
      </c>
      <c r="I52" s="21">
        <v>889</v>
      </c>
      <c r="J52" t="s">
        <v>10</v>
      </c>
      <c r="K52">
        <f t="shared" si="0"/>
        <v>232.15954322121314</v>
      </c>
      <c r="L52" s="56">
        <f t="shared" si="1"/>
        <v>30.2</v>
      </c>
      <c r="M52" s="56">
        <f t="shared" si="2"/>
        <v>122.2</v>
      </c>
      <c r="N52" s="56">
        <f t="shared" si="3"/>
        <v>138.20000000000022</v>
      </c>
      <c r="O52" s="56">
        <f t="shared" si="4"/>
        <v>230.19999999999976</v>
      </c>
    </row>
    <row r="53" spans="1:15" x14ac:dyDescent="0.25">
      <c r="A53" s="19">
        <v>51</v>
      </c>
      <c r="B53" s="19">
        <v>52</v>
      </c>
      <c r="C53" s="20">
        <v>0.28125</v>
      </c>
      <c r="D53" s="20">
        <v>0.60069444444444442</v>
      </c>
      <c r="E53" s="20">
        <v>0.656250000000001</v>
      </c>
      <c r="F53" s="20">
        <v>0.97569444444444442</v>
      </c>
      <c r="G53" s="19">
        <v>118.95720713305883</v>
      </c>
      <c r="H53" s="19">
        <v>113.20233608815433</v>
      </c>
      <c r="I53" s="21">
        <v>889</v>
      </c>
      <c r="J53" t="s">
        <v>10</v>
      </c>
      <c r="K53">
        <f t="shared" si="0"/>
        <v>232.15954322121314</v>
      </c>
      <c r="L53" s="56">
        <f t="shared" si="1"/>
        <v>33.200000000000003</v>
      </c>
      <c r="M53" s="56">
        <f t="shared" si="2"/>
        <v>125.2</v>
      </c>
      <c r="N53" s="56">
        <f t="shared" si="3"/>
        <v>141.2000000000003</v>
      </c>
      <c r="O53" s="56">
        <f t="shared" si="4"/>
        <v>233.2</v>
      </c>
    </row>
    <row r="54" spans="1:15" x14ac:dyDescent="0.25">
      <c r="A54" s="19">
        <v>52</v>
      </c>
      <c r="B54" s="19">
        <v>53</v>
      </c>
      <c r="C54" s="20">
        <v>0.29166666666666669</v>
      </c>
      <c r="D54" s="20">
        <v>0.61111111111111105</v>
      </c>
      <c r="E54" s="20">
        <v>0.66666666666666796</v>
      </c>
      <c r="F54" s="20">
        <v>0.98611111111111105</v>
      </c>
      <c r="G54" s="19">
        <v>118.95720713305883</v>
      </c>
      <c r="H54" s="19">
        <v>113.20233608815433</v>
      </c>
      <c r="I54" s="21">
        <v>889</v>
      </c>
      <c r="J54" t="s">
        <v>10</v>
      </c>
      <c r="K54">
        <f t="shared" si="0"/>
        <v>232.15954322121314</v>
      </c>
      <c r="L54" s="56">
        <f t="shared" si="1"/>
        <v>36.200000000000003</v>
      </c>
      <c r="M54" s="56">
        <f t="shared" si="2"/>
        <v>128.19999999999999</v>
      </c>
      <c r="N54" s="56">
        <f t="shared" si="3"/>
        <v>144.20000000000036</v>
      </c>
      <c r="O54" s="56">
        <f t="shared" si="4"/>
        <v>236.2</v>
      </c>
    </row>
    <row r="55" spans="1:15" x14ac:dyDescent="0.25">
      <c r="A55" s="19">
        <v>53</v>
      </c>
      <c r="B55" s="19">
        <v>54</v>
      </c>
      <c r="C55" s="20">
        <v>0.30208333333333331</v>
      </c>
      <c r="D55" s="20">
        <v>0.62152777777777779</v>
      </c>
      <c r="E55" s="20">
        <v>0.67708333333333504</v>
      </c>
      <c r="F55" s="20">
        <v>0.99652777777777779</v>
      </c>
      <c r="G55" s="19">
        <v>118.95720713305883</v>
      </c>
      <c r="H55" s="19">
        <v>113.20233608815433</v>
      </c>
      <c r="I55" s="21">
        <v>889</v>
      </c>
      <c r="J55" t="s">
        <v>10</v>
      </c>
      <c r="K55">
        <f t="shared" si="0"/>
        <v>232.15954322121314</v>
      </c>
      <c r="L55" s="56">
        <f t="shared" si="1"/>
        <v>39.200000000000003</v>
      </c>
      <c r="M55" s="56">
        <f t="shared" si="2"/>
        <v>131.19999999999999</v>
      </c>
      <c r="N55" s="56">
        <f t="shared" si="3"/>
        <v>147.20000000000047</v>
      </c>
      <c r="O55" s="56">
        <f t="shared" si="4"/>
        <v>239.2</v>
      </c>
    </row>
    <row r="56" spans="1:15" x14ac:dyDescent="0.25">
      <c r="A56" s="19">
        <v>54</v>
      </c>
      <c r="B56" s="19">
        <v>55</v>
      </c>
      <c r="C56" s="20">
        <v>0.3125</v>
      </c>
      <c r="D56" s="20">
        <v>0.63194444444444442</v>
      </c>
      <c r="E56" s="20">
        <v>0.687500000000001</v>
      </c>
      <c r="F56" s="20">
        <v>6.9444444444444441E-3</v>
      </c>
      <c r="G56" s="19">
        <v>118.95720713305883</v>
      </c>
      <c r="H56" s="19">
        <v>113.20233608815433</v>
      </c>
      <c r="I56" s="21">
        <v>889</v>
      </c>
      <c r="J56" t="s">
        <v>10</v>
      </c>
      <c r="K56">
        <f t="shared" si="0"/>
        <v>232.15954322121314</v>
      </c>
      <c r="L56" s="56">
        <f t="shared" si="1"/>
        <v>42.2</v>
      </c>
      <c r="M56" s="56">
        <f t="shared" si="2"/>
        <v>134.19999999999999</v>
      </c>
      <c r="N56" s="56">
        <f t="shared" si="3"/>
        <v>150.2000000000003</v>
      </c>
      <c r="O56" s="56">
        <f>(1440+CONVERT(F56,"day","mn")-239)/5</f>
        <v>242.2</v>
      </c>
    </row>
    <row r="57" spans="1:15" x14ac:dyDescent="0.25">
      <c r="A57">
        <v>55</v>
      </c>
      <c r="B57" s="22">
        <v>56</v>
      </c>
      <c r="C57" s="23">
        <v>0.19444444444444445</v>
      </c>
      <c r="D57" s="23">
        <v>0.50347222222222221</v>
      </c>
      <c r="E57" s="23">
        <v>0.60416666666666663</v>
      </c>
      <c r="F57" s="23">
        <v>0.91319444444444453</v>
      </c>
      <c r="G57" s="22">
        <v>105.55293827160511</v>
      </c>
      <c r="H57" s="22">
        <v>81.1295847750864</v>
      </c>
      <c r="I57" s="24" t="s">
        <v>11</v>
      </c>
      <c r="J57" t="s">
        <v>10</v>
      </c>
      <c r="K57">
        <f t="shared" si="0"/>
        <v>186.68252304669153</v>
      </c>
      <c r="L57" s="56">
        <f t="shared" si="1"/>
        <v>8.1999999999999993</v>
      </c>
      <c r="M57" s="56">
        <f t="shared" si="2"/>
        <v>97.2</v>
      </c>
      <c r="N57" s="56">
        <f t="shared" si="3"/>
        <v>126.2</v>
      </c>
      <c r="O57" s="56">
        <f t="shared" si="4"/>
        <v>215.20000000000005</v>
      </c>
    </row>
    <row r="58" spans="1:15" x14ac:dyDescent="0.25">
      <c r="A58">
        <v>56</v>
      </c>
      <c r="B58" s="22">
        <v>57</v>
      </c>
      <c r="C58" s="23">
        <v>0.25</v>
      </c>
      <c r="D58" s="23">
        <v>0.55902777777777779</v>
      </c>
      <c r="E58" s="23">
        <v>0.63194444444444442</v>
      </c>
      <c r="F58" s="23">
        <v>0.94097222222222221</v>
      </c>
      <c r="G58" s="22">
        <v>105.55293827160511</v>
      </c>
      <c r="H58" s="22">
        <v>81.1295847750864</v>
      </c>
      <c r="I58" s="24" t="s">
        <v>11</v>
      </c>
      <c r="J58" t="s">
        <v>10</v>
      </c>
      <c r="K58">
        <f t="shared" si="0"/>
        <v>186.68252304669153</v>
      </c>
      <c r="L58" s="56">
        <f t="shared" si="1"/>
        <v>24.2</v>
      </c>
      <c r="M58" s="56">
        <f t="shared" si="2"/>
        <v>113.2</v>
      </c>
      <c r="N58" s="56">
        <f t="shared" si="3"/>
        <v>134.19999999999999</v>
      </c>
      <c r="O58" s="56">
        <f t="shared" si="4"/>
        <v>223.2</v>
      </c>
    </row>
    <row r="59" spans="1:15" x14ac:dyDescent="0.25">
      <c r="A59">
        <v>57</v>
      </c>
      <c r="B59" s="22">
        <v>58</v>
      </c>
      <c r="C59" s="23">
        <v>0.27777777777777779</v>
      </c>
      <c r="D59" s="23">
        <v>0.58680555555555558</v>
      </c>
      <c r="E59" s="23">
        <v>0.65972222222222221</v>
      </c>
      <c r="F59" s="23">
        <v>0.96875</v>
      </c>
      <c r="G59" s="22">
        <v>105.55293827160511</v>
      </c>
      <c r="H59" s="22">
        <v>81.1295847750864</v>
      </c>
      <c r="I59" s="24" t="s">
        <v>11</v>
      </c>
      <c r="J59" t="s">
        <v>10</v>
      </c>
      <c r="K59">
        <f t="shared" si="0"/>
        <v>186.68252304669153</v>
      </c>
      <c r="L59" s="56">
        <f t="shared" si="1"/>
        <v>32.200000000000003</v>
      </c>
      <c r="M59" s="56">
        <f t="shared" si="2"/>
        <v>121.2</v>
      </c>
      <c r="N59" s="56">
        <f t="shared" si="3"/>
        <v>142.19999999999999</v>
      </c>
      <c r="O59" s="56">
        <f t="shared" si="4"/>
        <v>231.2</v>
      </c>
    </row>
    <row r="60" spans="1:15" x14ac:dyDescent="0.25">
      <c r="A60">
        <v>58</v>
      </c>
      <c r="B60" s="22">
        <v>59</v>
      </c>
      <c r="C60" s="23">
        <v>0.30555555555555552</v>
      </c>
      <c r="D60" s="23">
        <v>0.61458333333333337</v>
      </c>
      <c r="E60" s="23">
        <v>0.71527777777777768</v>
      </c>
      <c r="F60" s="23">
        <v>2.4305555555555556E-2</v>
      </c>
      <c r="G60" s="22">
        <v>105.55293827160511</v>
      </c>
      <c r="H60" s="22">
        <v>81.1295847750864</v>
      </c>
      <c r="I60" s="24" t="s">
        <v>11</v>
      </c>
      <c r="J60" t="s">
        <v>10</v>
      </c>
      <c r="K60">
        <f t="shared" si="0"/>
        <v>186.68252304669153</v>
      </c>
      <c r="L60" s="56">
        <f t="shared" si="1"/>
        <v>40.199999999999989</v>
      </c>
      <c r="M60" s="56">
        <f t="shared" si="2"/>
        <v>129.19999999999999</v>
      </c>
      <c r="N60" s="56">
        <f t="shared" si="3"/>
        <v>158.19999999999996</v>
      </c>
      <c r="O60" s="56">
        <f>(1440+CONVERT(F60,"day","mn")-239)/5</f>
        <v>247.2</v>
      </c>
    </row>
    <row r="61" spans="1:15" x14ac:dyDescent="0.25">
      <c r="A61">
        <v>59</v>
      </c>
      <c r="B61" s="22">
        <v>60</v>
      </c>
      <c r="C61" s="23">
        <v>0.3611111111111111</v>
      </c>
      <c r="D61" s="23">
        <v>0.67013888888888884</v>
      </c>
      <c r="E61" s="23"/>
      <c r="F61" s="23"/>
      <c r="G61" s="22">
        <v>105.55293827160511</v>
      </c>
      <c r="H61" s="22">
        <v>0</v>
      </c>
      <c r="I61" s="24" t="s">
        <v>11</v>
      </c>
      <c r="J61" t="s">
        <v>10</v>
      </c>
      <c r="K61">
        <f t="shared" si="0"/>
        <v>105.55293827160511</v>
      </c>
      <c r="L61" s="56">
        <f t="shared" si="1"/>
        <v>56.2</v>
      </c>
      <c r="M61" s="56">
        <f t="shared" si="2"/>
        <v>145.19999999999999</v>
      </c>
      <c r="N61" s="56">
        <v>0</v>
      </c>
      <c r="O61" s="56">
        <v>0</v>
      </c>
    </row>
    <row r="62" spans="1:15" x14ac:dyDescent="0.25">
      <c r="A62">
        <v>60</v>
      </c>
      <c r="B62" s="25">
        <v>61</v>
      </c>
      <c r="C62" s="26">
        <v>0.18055555555555555</v>
      </c>
      <c r="D62" s="26">
        <v>0.49652777777777773</v>
      </c>
      <c r="E62" s="26">
        <v>0.54513888888888884</v>
      </c>
      <c r="F62" s="26">
        <v>0.86111111111111116</v>
      </c>
      <c r="G62" s="25">
        <v>119.41947016460924</v>
      </c>
      <c r="H62" s="25">
        <v>118.87291322314047</v>
      </c>
      <c r="I62" s="27" t="s">
        <v>12</v>
      </c>
      <c r="J62" t="s">
        <v>10</v>
      </c>
      <c r="K62">
        <f t="shared" si="0"/>
        <v>238.29238338774971</v>
      </c>
      <c r="L62" s="56">
        <f t="shared" si="1"/>
        <v>4.2</v>
      </c>
      <c r="M62" s="56">
        <f t="shared" si="2"/>
        <v>95.199999999999974</v>
      </c>
      <c r="N62" s="56">
        <f t="shared" si="3"/>
        <v>109.19999999999997</v>
      </c>
      <c r="O62" s="56">
        <f t="shared" si="4"/>
        <v>200.2</v>
      </c>
    </row>
    <row r="63" spans="1:15" x14ac:dyDescent="0.25">
      <c r="A63">
        <v>61</v>
      </c>
      <c r="B63" s="25">
        <v>62</v>
      </c>
      <c r="C63" s="26">
        <v>0.20138888888888887</v>
      </c>
      <c r="D63" s="26">
        <v>0.51736111111111105</v>
      </c>
      <c r="E63" s="26">
        <v>0.56597222222222221</v>
      </c>
      <c r="F63" s="26">
        <v>0.89930555555555547</v>
      </c>
      <c r="G63" s="25">
        <v>119.41947016460924</v>
      </c>
      <c r="H63" s="25">
        <v>118.87291322314047</v>
      </c>
      <c r="I63" s="27" t="s">
        <v>12</v>
      </c>
      <c r="J63" t="s">
        <v>10</v>
      </c>
      <c r="K63">
        <f t="shared" si="0"/>
        <v>238.29238338774971</v>
      </c>
      <c r="L63" s="56">
        <f t="shared" si="1"/>
        <v>10.199999999999989</v>
      </c>
      <c r="M63" s="56">
        <f t="shared" si="2"/>
        <v>101.19999999999997</v>
      </c>
      <c r="N63" s="56">
        <f t="shared" si="3"/>
        <v>115.2</v>
      </c>
      <c r="O63" s="56">
        <f t="shared" si="4"/>
        <v>211.19999999999996</v>
      </c>
    </row>
    <row r="64" spans="1:15" x14ac:dyDescent="0.25">
      <c r="A64">
        <v>62</v>
      </c>
      <c r="B64" s="25">
        <v>63</v>
      </c>
      <c r="C64" s="26">
        <v>0.22222222222222221</v>
      </c>
      <c r="D64" s="26">
        <v>0.53819444444444442</v>
      </c>
      <c r="E64" s="26">
        <v>0.58680555555555547</v>
      </c>
      <c r="F64" s="26">
        <v>0.90277777777777779</v>
      </c>
      <c r="G64" s="25">
        <v>119.41947016460924</v>
      </c>
      <c r="H64" s="25">
        <v>118.87291322314047</v>
      </c>
      <c r="I64" s="27" t="s">
        <v>12</v>
      </c>
      <c r="J64" t="s">
        <v>10</v>
      </c>
      <c r="K64">
        <f t="shared" si="0"/>
        <v>238.29238338774971</v>
      </c>
      <c r="L64" s="56">
        <f t="shared" si="1"/>
        <v>16.2</v>
      </c>
      <c r="M64" s="56">
        <f t="shared" si="2"/>
        <v>107.2</v>
      </c>
      <c r="N64" s="56">
        <f t="shared" si="3"/>
        <v>121.19999999999997</v>
      </c>
      <c r="O64" s="56">
        <f t="shared" si="4"/>
        <v>212.2</v>
      </c>
    </row>
    <row r="65" spans="1:15" x14ac:dyDescent="0.25">
      <c r="A65">
        <v>63</v>
      </c>
      <c r="B65" s="25">
        <v>64</v>
      </c>
      <c r="C65" s="26">
        <v>0.24305555555555555</v>
      </c>
      <c r="D65" s="26">
        <v>0.55902777777777779</v>
      </c>
      <c r="E65" s="26">
        <v>0.60763888888888884</v>
      </c>
      <c r="F65" s="26">
        <v>0.92361111111111116</v>
      </c>
      <c r="G65" s="25">
        <v>119.41947016460924</v>
      </c>
      <c r="H65" s="25">
        <v>118.87291322314047</v>
      </c>
      <c r="I65" s="27" t="s">
        <v>12</v>
      </c>
      <c r="J65" t="s">
        <v>10</v>
      </c>
      <c r="K65">
        <f t="shared" si="0"/>
        <v>238.29238338774971</v>
      </c>
      <c r="L65" s="56">
        <f t="shared" si="1"/>
        <v>22.2</v>
      </c>
      <c r="M65" s="56">
        <f t="shared" si="2"/>
        <v>113.2</v>
      </c>
      <c r="N65" s="56">
        <f t="shared" si="3"/>
        <v>127.19999999999997</v>
      </c>
      <c r="O65" s="56">
        <f t="shared" si="4"/>
        <v>218.2</v>
      </c>
    </row>
    <row r="66" spans="1:15" x14ac:dyDescent="0.25">
      <c r="A66">
        <v>64</v>
      </c>
      <c r="B66" s="25">
        <v>65</v>
      </c>
      <c r="C66" s="26">
        <v>0.2638888888888889</v>
      </c>
      <c r="D66" s="26">
        <v>0.57986111111111105</v>
      </c>
      <c r="E66" s="26">
        <v>0.62847222222222221</v>
      </c>
      <c r="F66" s="26">
        <v>0.94444444444444453</v>
      </c>
      <c r="G66" s="25">
        <v>119.41947016460924</v>
      </c>
      <c r="H66" s="25">
        <v>118.87291322314047</v>
      </c>
      <c r="I66" s="27" t="s">
        <v>12</v>
      </c>
      <c r="J66" t="s">
        <v>10</v>
      </c>
      <c r="K66">
        <f t="shared" si="0"/>
        <v>238.29238338774971</v>
      </c>
      <c r="L66" s="56">
        <f t="shared" si="1"/>
        <v>28.2</v>
      </c>
      <c r="M66" s="56">
        <f t="shared" si="2"/>
        <v>119.19999999999997</v>
      </c>
      <c r="N66" s="56">
        <f t="shared" si="3"/>
        <v>133.19999999999999</v>
      </c>
      <c r="O66" s="56">
        <f t="shared" si="4"/>
        <v>224.20000000000005</v>
      </c>
    </row>
    <row r="67" spans="1:15" x14ac:dyDescent="0.25">
      <c r="A67">
        <v>65</v>
      </c>
      <c r="B67" s="25">
        <v>66</v>
      </c>
      <c r="C67" s="26">
        <v>0.28472222222222221</v>
      </c>
      <c r="D67" s="26">
        <v>0.60069444444444442</v>
      </c>
      <c r="E67" s="26">
        <v>0.64930555555555547</v>
      </c>
      <c r="F67" s="26">
        <v>0.96527777777777779</v>
      </c>
      <c r="G67" s="25">
        <v>119.41947016460924</v>
      </c>
      <c r="H67" s="25">
        <v>118.87291322314047</v>
      </c>
      <c r="I67" s="27" t="s">
        <v>12</v>
      </c>
      <c r="J67" t="s">
        <v>10</v>
      </c>
      <c r="K67">
        <f t="shared" ref="K67:K102" si="6">SUM(G67:H67)</f>
        <v>238.29238338774971</v>
      </c>
      <c r="L67" s="56">
        <f t="shared" ref="L67:L102" si="7">(CONVERT(C67,"day","mn")-239)/5</f>
        <v>34.200000000000003</v>
      </c>
      <c r="M67" s="56">
        <f t="shared" ref="M67:M102" si="8">(CONVERT(D67,"day","mn")-239)/5</f>
        <v>125.2</v>
      </c>
      <c r="N67" s="56">
        <f t="shared" ref="N67:N96" si="9">(CONVERT(E67,"day","mn")-239)/5</f>
        <v>139.19999999999999</v>
      </c>
      <c r="O67" s="56">
        <f t="shared" ref="O67:O95" si="10">(CONVERT(F67,"day","mn")-239)/5</f>
        <v>230.2</v>
      </c>
    </row>
    <row r="68" spans="1:15" x14ac:dyDescent="0.25">
      <c r="A68">
        <v>66</v>
      </c>
      <c r="B68" s="25">
        <v>67</v>
      </c>
      <c r="C68" s="26">
        <v>0.30555555555555552</v>
      </c>
      <c r="D68" s="26">
        <v>0.62152777777777779</v>
      </c>
      <c r="E68" s="26">
        <v>0.67013888888888884</v>
      </c>
      <c r="F68" s="26">
        <v>0.98611111111111116</v>
      </c>
      <c r="G68" s="25">
        <v>119.41947016460924</v>
      </c>
      <c r="H68" s="25">
        <v>118.87291322314047</v>
      </c>
      <c r="I68" s="27" t="s">
        <v>12</v>
      </c>
      <c r="J68" t="s">
        <v>10</v>
      </c>
      <c r="K68">
        <f t="shared" si="6"/>
        <v>238.29238338774971</v>
      </c>
      <c r="L68" s="56">
        <f t="shared" si="7"/>
        <v>40.199999999999989</v>
      </c>
      <c r="M68" s="56">
        <f t="shared" si="8"/>
        <v>131.19999999999999</v>
      </c>
      <c r="N68" s="56">
        <f t="shared" si="9"/>
        <v>145.19999999999999</v>
      </c>
      <c r="O68" s="56">
        <f t="shared" si="10"/>
        <v>236.2</v>
      </c>
    </row>
    <row r="69" spans="1:15" x14ac:dyDescent="0.25">
      <c r="A69">
        <v>67</v>
      </c>
      <c r="B69" s="25">
        <v>68</v>
      </c>
      <c r="C69" s="26">
        <v>0.3263888888888889</v>
      </c>
      <c r="D69" s="26">
        <v>0.64236111111111105</v>
      </c>
      <c r="E69" s="26">
        <v>0.69097222222222221</v>
      </c>
      <c r="F69" s="26">
        <v>6.9444444444444441E-3</v>
      </c>
      <c r="G69" s="25">
        <v>119.41947016460924</v>
      </c>
      <c r="H69" s="25">
        <v>118.87291322314047</v>
      </c>
      <c r="I69" s="27" t="s">
        <v>12</v>
      </c>
      <c r="J69" t="s">
        <v>10</v>
      </c>
      <c r="K69">
        <f t="shared" si="6"/>
        <v>238.29238338774971</v>
      </c>
      <c r="L69" s="56">
        <f t="shared" si="7"/>
        <v>46.2</v>
      </c>
      <c r="M69" s="56">
        <f t="shared" si="8"/>
        <v>137.19999999999999</v>
      </c>
      <c r="N69" s="56">
        <f t="shared" si="9"/>
        <v>151.19999999999999</v>
      </c>
      <c r="O69" s="56">
        <f>(1440+CONVERT(F69,"day","mn")-239)/5</f>
        <v>242.2</v>
      </c>
    </row>
    <row r="70" spans="1:15" x14ac:dyDescent="0.25">
      <c r="A70">
        <v>68</v>
      </c>
      <c r="B70" s="7">
        <v>69</v>
      </c>
      <c r="C70" s="8">
        <v>0.2013888888888889</v>
      </c>
      <c r="D70" s="8">
        <v>0.51041666666666663</v>
      </c>
      <c r="E70" s="8">
        <v>0.56249999999999989</v>
      </c>
      <c r="F70" s="8">
        <v>0.87152777777777779</v>
      </c>
      <c r="G70" s="7">
        <v>110.20985233599583</v>
      </c>
      <c r="H70" s="7">
        <v>108.70678658240134</v>
      </c>
      <c r="I70" s="9" t="s">
        <v>13</v>
      </c>
      <c r="J70" t="s">
        <v>10</v>
      </c>
      <c r="K70">
        <f t="shared" si="6"/>
        <v>218.91663891839715</v>
      </c>
      <c r="L70" s="56">
        <f t="shared" si="7"/>
        <v>10.199999999999999</v>
      </c>
      <c r="M70" s="56">
        <f t="shared" si="8"/>
        <v>99.2</v>
      </c>
      <c r="N70" s="56">
        <f t="shared" si="9"/>
        <v>114.19999999999997</v>
      </c>
      <c r="O70" s="56">
        <f t="shared" si="10"/>
        <v>203.2</v>
      </c>
    </row>
    <row r="71" spans="1:15" x14ac:dyDescent="0.25">
      <c r="A71">
        <v>69</v>
      </c>
      <c r="B71" s="7">
        <v>70</v>
      </c>
      <c r="C71" s="8">
        <v>0.21875000000000003</v>
      </c>
      <c r="D71" s="8">
        <v>0.52777777777777779</v>
      </c>
      <c r="E71" s="8">
        <v>0.57638888888888884</v>
      </c>
      <c r="F71" s="8">
        <v>0.88541666666666663</v>
      </c>
      <c r="G71" s="7">
        <v>110.20985233599583</v>
      </c>
      <c r="H71" s="7">
        <v>108.70678658240134</v>
      </c>
      <c r="I71" s="9" t="s">
        <v>13</v>
      </c>
      <c r="J71" t="s">
        <v>10</v>
      </c>
      <c r="K71">
        <f t="shared" si="6"/>
        <v>218.91663891839715</v>
      </c>
      <c r="L71" s="56">
        <f t="shared" si="7"/>
        <v>15.200000000000012</v>
      </c>
      <c r="M71" s="56">
        <f t="shared" si="8"/>
        <v>104.2</v>
      </c>
      <c r="N71" s="56">
        <f t="shared" si="9"/>
        <v>118.19999999999997</v>
      </c>
      <c r="O71" s="56">
        <f t="shared" si="10"/>
        <v>207.2</v>
      </c>
    </row>
    <row r="72" spans="1:15" x14ac:dyDescent="0.25">
      <c r="A72">
        <v>70</v>
      </c>
      <c r="B72" s="7">
        <v>71</v>
      </c>
      <c r="C72" s="8">
        <v>0.22569444444444445</v>
      </c>
      <c r="D72" s="8">
        <v>0.53472222222222221</v>
      </c>
      <c r="E72" s="8">
        <v>0.58333333333333326</v>
      </c>
      <c r="F72" s="8">
        <v>0.89236111111111116</v>
      </c>
      <c r="G72" s="7">
        <v>110.20985233599583</v>
      </c>
      <c r="H72" s="7">
        <v>108.70678658240134</v>
      </c>
      <c r="I72" s="9" t="s">
        <v>13</v>
      </c>
      <c r="J72" t="s">
        <v>10</v>
      </c>
      <c r="K72">
        <f t="shared" si="6"/>
        <v>218.91663891839715</v>
      </c>
      <c r="L72" s="56">
        <f t="shared" si="7"/>
        <v>17.2</v>
      </c>
      <c r="M72" s="56">
        <f t="shared" si="8"/>
        <v>106.2</v>
      </c>
      <c r="N72" s="56">
        <f t="shared" si="9"/>
        <v>120.19999999999997</v>
      </c>
      <c r="O72" s="56">
        <f t="shared" si="10"/>
        <v>209.2</v>
      </c>
    </row>
    <row r="73" spans="1:15" x14ac:dyDescent="0.25">
      <c r="A73">
        <v>71</v>
      </c>
      <c r="B73" s="7">
        <v>72</v>
      </c>
      <c r="C73" s="8">
        <v>0.2361111111111111</v>
      </c>
      <c r="D73" s="8">
        <v>0.54513888888888884</v>
      </c>
      <c r="E73" s="8">
        <v>0.59374999999999989</v>
      </c>
      <c r="F73" s="8">
        <v>0.90625</v>
      </c>
      <c r="G73" s="7">
        <v>110.20985233599583</v>
      </c>
      <c r="H73" s="7">
        <v>108.70678658240134</v>
      </c>
      <c r="I73" s="9" t="s">
        <v>13</v>
      </c>
      <c r="J73" t="s">
        <v>10</v>
      </c>
      <c r="K73">
        <f t="shared" si="6"/>
        <v>218.91663891839715</v>
      </c>
      <c r="L73" s="56">
        <f t="shared" si="7"/>
        <v>20.2</v>
      </c>
      <c r="M73" s="56">
        <f t="shared" si="8"/>
        <v>109.19999999999997</v>
      </c>
      <c r="N73" s="56">
        <f t="shared" si="9"/>
        <v>123.19999999999997</v>
      </c>
      <c r="O73" s="56">
        <f t="shared" si="10"/>
        <v>213.2</v>
      </c>
    </row>
    <row r="74" spans="1:15" x14ac:dyDescent="0.25">
      <c r="A74">
        <v>72</v>
      </c>
      <c r="B74" s="7">
        <v>73</v>
      </c>
      <c r="C74" s="8">
        <v>0.24305555555555555</v>
      </c>
      <c r="D74" s="8">
        <v>0.55208333333333326</v>
      </c>
      <c r="E74" s="8">
        <v>0.60069444444444442</v>
      </c>
      <c r="F74" s="8">
        <v>0.90972222222222221</v>
      </c>
      <c r="G74" s="7">
        <v>110.20985233599583</v>
      </c>
      <c r="H74" s="7">
        <v>108.70678658240134</v>
      </c>
      <c r="I74" s="9" t="s">
        <v>13</v>
      </c>
      <c r="J74" t="s">
        <v>10</v>
      </c>
      <c r="K74">
        <f t="shared" si="6"/>
        <v>218.91663891839715</v>
      </c>
      <c r="L74" s="56">
        <f t="shared" si="7"/>
        <v>22.2</v>
      </c>
      <c r="M74" s="56">
        <f t="shared" si="8"/>
        <v>111.19999999999997</v>
      </c>
      <c r="N74" s="56">
        <f t="shared" si="9"/>
        <v>125.2</v>
      </c>
      <c r="O74" s="56">
        <f t="shared" si="10"/>
        <v>214.2</v>
      </c>
    </row>
    <row r="75" spans="1:15" x14ac:dyDescent="0.25">
      <c r="A75">
        <v>73</v>
      </c>
      <c r="B75" s="7">
        <v>74</v>
      </c>
      <c r="C75" s="8">
        <v>0.25347222222222221</v>
      </c>
      <c r="D75" s="8">
        <v>0.5625</v>
      </c>
      <c r="E75" s="8">
        <v>0.61111111111111105</v>
      </c>
      <c r="F75" s="8">
        <v>0.92013888888888884</v>
      </c>
      <c r="G75" s="7">
        <v>110.20985233599583</v>
      </c>
      <c r="H75" s="7">
        <v>108.70678658240134</v>
      </c>
      <c r="I75" s="9" t="s">
        <v>13</v>
      </c>
      <c r="J75" t="s">
        <v>10</v>
      </c>
      <c r="K75">
        <f t="shared" si="6"/>
        <v>218.91663891839715</v>
      </c>
      <c r="L75" s="56">
        <f t="shared" si="7"/>
        <v>25.2</v>
      </c>
      <c r="M75" s="56">
        <f t="shared" si="8"/>
        <v>114.2</v>
      </c>
      <c r="N75" s="56">
        <f t="shared" si="9"/>
        <v>128.19999999999999</v>
      </c>
      <c r="O75" s="56">
        <f t="shared" si="10"/>
        <v>217.2</v>
      </c>
    </row>
    <row r="76" spans="1:15" x14ac:dyDescent="0.25">
      <c r="A76">
        <v>74</v>
      </c>
      <c r="B76" s="7">
        <v>75</v>
      </c>
      <c r="C76" s="8">
        <v>0.26041666666666669</v>
      </c>
      <c r="D76" s="8">
        <v>0.56944444444444442</v>
      </c>
      <c r="E76" s="8">
        <v>0.61805555555555547</v>
      </c>
      <c r="F76" s="8">
        <v>0.92708333333333337</v>
      </c>
      <c r="G76" s="7">
        <v>110.20985233599583</v>
      </c>
      <c r="H76" s="7">
        <v>108.70678658240134</v>
      </c>
      <c r="I76" s="9" t="s">
        <v>13</v>
      </c>
      <c r="J76" t="s">
        <v>10</v>
      </c>
      <c r="K76">
        <f t="shared" si="6"/>
        <v>218.91663891839715</v>
      </c>
      <c r="L76" s="56">
        <f t="shared" si="7"/>
        <v>27.2</v>
      </c>
      <c r="M76" s="56">
        <f t="shared" si="8"/>
        <v>116.2</v>
      </c>
      <c r="N76" s="56">
        <f t="shared" si="9"/>
        <v>130.19999999999999</v>
      </c>
      <c r="O76" s="56">
        <f t="shared" si="10"/>
        <v>219.2</v>
      </c>
    </row>
    <row r="77" spans="1:15" x14ac:dyDescent="0.25">
      <c r="A77">
        <v>75</v>
      </c>
      <c r="B77" s="7">
        <v>76</v>
      </c>
      <c r="C77" s="8">
        <v>0.27083333333333337</v>
      </c>
      <c r="D77" s="8">
        <v>0.57986111111111116</v>
      </c>
      <c r="E77" s="8">
        <v>0.62847222222222221</v>
      </c>
      <c r="F77" s="8">
        <v>0.9375</v>
      </c>
      <c r="G77" s="7">
        <v>110.20985233599583</v>
      </c>
      <c r="H77" s="7">
        <v>108.70678658240134</v>
      </c>
      <c r="I77" s="9" t="s">
        <v>13</v>
      </c>
      <c r="J77" t="s">
        <v>10</v>
      </c>
      <c r="K77">
        <f t="shared" si="6"/>
        <v>218.91663891839715</v>
      </c>
      <c r="L77" s="56">
        <f t="shared" si="7"/>
        <v>30.20000000000001</v>
      </c>
      <c r="M77" s="56">
        <f t="shared" si="8"/>
        <v>119.20000000000002</v>
      </c>
      <c r="N77" s="56">
        <f t="shared" si="9"/>
        <v>133.19999999999999</v>
      </c>
      <c r="O77" s="56">
        <f t="shared" si="10"/>
        <v>222.2</v>
      </c>
    </row>
    <row r="78" spans="1:15" x14ac:dyDescent="0.25">
      <c r="A78">
        <v>76</v>
      </c>
      <c r="B78" s="7">
        <v>77</v>
      </c>
      <c r="C78" s="8">
        <v>0.27777777777777779</v>
      </c>
      <c r="D78" s="8">
        <v>0.58680555555555558</v>
      </c>
      <c r="E78" s="8">
        <v>0.63541666666666663</v>
      </c>
      <c r="F78" s="8">
        <v>0.94444444444444453</v>
      </c>
      <c r="G78" s="7">
        <v>110.20985233599583</v>
      </c>
      <c r="H78" s="7">
        <v>108.70678658240134</v>
      </c>
      <c r="I78" s="9" t="s">
        <v>13</v>
      </c>
      <c r="J78" t="s">
        <v>10</v>
      </c>
      <c r="K78">
        <f t="shared" si="6"/>
        <v>218.91663891839715</v>
      </c>
      <c r="L78" s="56">
        <f t="shared" si="7"/>
        <v>32.200000000000003</v>
      </c>
      <c r="M78" s="56">
        <f t="shared" si="8"/>
        <v>121.2</v>
      </c>
      <c r="N78" s="56">
        <f t="shared" si="9"/>
        <v>135.19999999999999</v>
      </c>
      <c r="O78" s="56">
        <f t="shared" si="10"/>
        <v>224.20000000000005</v>
      </c>
    </row>
    <row r="79" spans="1:15" x14ac:dyDescent="0.25">
      <c r="A79">
        <v>77</v>
      </c>
      <c r="B79" s="7">
        <v>78</v>
      </c>
      <c r="C79" s="8">
        <v>0.28819444444444442</v>
      </c>
      <c r="D79" s="8">
        <v>0.5972222222222221</v>
      </c>
      <c r="E79" s="8">
        <v>0.64583333333333326</v>
      </c>
      <c r="F79" s="8">
        <v>0.95486111111111116</v>
      </c>
      <c r="G79" s="7">
        <v>110.20985233599583</v>
      </c>
      <c r="H79" s="7">
        <v>108.70678658240134</v>
      </c>
      <c r="I79" s="9" t="s">
        <v>13</v>
      </c>
      <c r="J79" t="s">
        <v>10</v>
      </c>
      <c r="K79">
        <f t="shared" si="6"/>
        <v>218.91663891839715</v>
      </c>
      <c r="L79" s="56">
        <f t="shared" si="7"/>
        <v>35.199999999999989</v>
      </c>
      <c r="M79" s="56">
        <f t="shared" si="8"/>
        <v>124.19999999999997</v>
      </c>
      <c r="N79" s="56">
        <f t="shared" si="9"/>
        <v>138.19999999999999</v>
      </c>
      <c r="O79" s="56">
        <f t="shared" si="10"/>
        <v>227.2</v>
      </c>
    </row>
    <row r="80" spans="1:15" x14ac:dyDescent="0.25">
      <c r="A80">
        <v>78</v>
      </c>
      <c r="B80" s="7">
        <v>79</v>
      </c>
      <c r="C80" s="8">
        <v>0.2951388888888889</v>
      </c>
      <c r="D80" s="8">
        <v>0.60416666666666663</v>
      </c>
      <c r="E80" s="8">
        <v>0.65277777777777779</v>
      </c>
      <c r="F80" s="8">
        <v>0.96180555555555547</v>
      </c>
      <c r="G80" s="7">
        <v>110.20985233599583</v>
      </c>
      <c r="H80" s="7">
        <v>108.70678658240134</v>
      </c>
      <c r="I80" s="9" t="s">
        <v>13</v>
      </c>
      <c r="J80" t="s">
        <v>10</v>
      </c>
      <c r="K80">
        <f t="shared" si="6"/>
        <v>218.91663891839715</v>
      </c>
      <c r="L80" s="56">
        <f t="shared" si="7"/>
        <v>37.200000000000003</v>
      </c>
      <c r="M80" s="56">
        <f t="shared" si="8"/>
        <v>126.2</v>
      </c>
      <c r="N80" s="56">
        <f t="shared" si="9"/>
        <v>140.19999999999999</v>
      </c>
      <c r="O80" s="56">
        <f t="shared" si="10"/>
        <v>229.19999999999996</v>
      </c>
    </row>
    <row r="81" spans="1:15" x14ac:dyDescent="0.25">
      <c r="A81">
        <v>79</v>
      </c>
      <c r="B81" s="7">
        <v>80</v>
      </c>
      <c r="C81" s="8">
        <v>0.30555555555555558</v>
      </c>
      <c r="D81" s="8">
        <v>0.61458333333333326</v>
      </c>
      <c r="E81" s="8">
        <v>0.66319444444444442</v>
      </c>
      <c r="F81" s="8">
        <v>0.97222222222222221</v>
      </c>
      <c r="G81" s="7">
        <v>110.20985233599583</v>
      </c>
      <c r="H81" s="7">
        <v>108.70678658240134</v>
      </c>
      <c r="I81" s="9" t="s">
        <v>13</v>
      </c>
      <c r="J81" t="s">
        <v>10</v>
      </c>
      <c r="K81">
        <f t="shared" si="6"/>
        <v>218.91663891839715</v>
      </c>
      <c r="L81" s="56">
        <f t="shared" si="7"/>
        <v>40.20000000000001</v>
      </c>
      <c r="M81" s="56">
        <f t="shared" si="8"/>
        <v>129.19999999999999</v>
      </c>
      <c r="N81" s="56">
        <f t="shared" si="9"/>
        <v>143.19999999999999</v>
      </c>
      <c r="O81" s="56">
        <f t="shared" si="10"/>
        <v>232.2</v>
      </c>
    </row>
    <row r="82" spans="1:15" x14ac:dyDescent="0.25">
      <c r="A82">
        <v>80</v>
      </c>
      <c r="B82" s="7">
        <v>81</v>
      </c>
      <c r="C82" s="8">
        <v>0.3125</v>
      </c>
      <c r="D82" s="8">
        <v>0.61805555555555558</v>
      </c>
      <c r="E82" s="8">
        <v>0.67013888888888884</v>
      </c>
      <c r="F82" s="8">
        <v>0.97916666666666663</v>
      </c>
      <c r="G82" s="7">
        <v>110.20985233599583</v>
      </c>
      <c r="H82" s="7">
        <v>108.70678658240134</v>
      </c>
      <c r="I82" s="9" t="s">
        <v>13</v>
      </c>
      <c r="J82" t="s">
        <v>10</v>
      </c>
      <c r="K82">
        <f t="shared" si="6"/>
        <v>218.91663891839715</v>
      </c>
      <c r="L82" s="56">
        <f t="shared" si="7"/>
        <v>42.2</v>
      </c>
      <c r="M82" s="56">
        <f t="shared" si="8"/>
        <v>130.19999999999999</v>
      </c>
      <c r="N82" s="56">
        <f t="shared" si="9"/>
        <v>145.19999999999999</v>
      </c>
      <c r="O82" s="56">
        <f t="shared" si="10"/>
        <v>234.2</v>
      </c>
    </row>
    <row r="83" spans="1:15" x14ac:dyDescent="0.25">
      <c r="A83">
        <v>81</v>
      </c>
      <c r="B83" s="7">
        <v>82</v>
      </c>
      <c r="C83" s="8">
        <v>0.32291666666666669</v>
      </c>
      <c r="D83" s="8">
        <v>0.63194444444444442</v>
      </c>
      <c r="E83" s="8">
        <v>0.68055555555555547</v>
      </c>
      <c r="F83" s="8">
        <v>0.98958333333333337</v>
      </c>
      <c r="G83" s="7">
        <v>110.20985233599583</v>
      </c>
      <c r="H83" s="7">
        <v>108.70678658240134</v>
      </c>
      <c r="I83" s="9" t="s">
        <v>13</v>
      </c>
      <c r="J83" t="s">
        <v>10</v>
      </c>
      <c r="K83">
        <f t="shared" si="6"/>
        <v>218.91663891839715</v>
      </c>
      <c r="L83" s="56">
        <f t="shared" si="7"/>
        <v>45.2</v>
      </c>
      <c r="M83" s="56">
        <f t="shared" si="8"/>
        <v>134.19999999999999</v>
      </c>
      <c r="N83" s="56">
        <f t="shared" si="9"/>
        <v>148.19999999999999</v>
      </c>
      <c r="O83" s="56">
        <f t="shared" si="10"/>
        <v>237.2</v>
      </c>
    </row>
    <row r="84" spans="1:15" x14ac:dyDescent="0.25">
      <c r="A84">
        <v>82</v>
      </c>
      <c r="B84" s="7">
        <v>83</v>
      </c>
      <c r="C84" s="8">
        <v>0.3298611111111111</v>
      </c>
      <c r="D84" s="8">
        <v>0.63888888888888884</v>
      </c>
      <c r="E84" s="8">
        <v>0.69097222222222221</v>
      </c>
      <c r="F84" s="8">
        <v>0</v>
      </c>
      <c r="G84" s="7">
        <v>110.20985233599583</v>
      </c>
      <c r="H84" s="7">
        <v>108.70678658240134</v>
      </c>
      <c r="I84" s="9" t="s">
        <v>13</v>
      </c>
      <c r="J84" t="s">
        <v>10</v>
      </c>
      <c r="K84">
        <f t="shared" si="6"/>
        <v>218.91663891839715</v>
      </c>
      <c r="L84" s="56">
        <f t="shared" si="7"/>
        <v>47.2</v>
      </c>
      <c r="M84" s="56">
        <f t="shared" si="8"/>
        <v>136.19999999999999</v>
      </c>
      <c r="N84" s="56">
        <f t="shared" si="9"/>
        <v>151.19999999999999</v>
      </c>
      <c r="O84" s="56">
        <f>(1440+CONVERT(F84,"day","mn")-239)/5</f>
        <v>240.2</v>
      </c>
    </row>
    <row r="85" spans="1:15" x14ac:dyDescent="0.25">
      <c r="A85">
        <v>83</v>
      </c>
      <c r="B85" s="7">
        <v>84</v>
      </c>
      <c r="C85" s="8">
        <v>0.34027777777777779</v>
      </c>
      <c r="D85" s="8">
        <v>0.64930555555555558</v>
      </c>
      <c r="E85" s="8">
        <v>0.69791666666666663</v>
      </c>
      <c r="F85" s="8">
        <v>6.9444444444444441E-3</v>
      </c>
      <c r="G85" s="7">
        <v>110.20985233599583</v>
      </c>
      <c r="H85" s="7">
        <v>108.70678658240134</v>
      </c>
      <c r="I85" s="9" t="s">
        <v>13</v>
      </c>
      <c r="J85" t="s">
        <v>10</v>
      </c>
      <c r="K85">
        <f t="shared" si="6"/>
        <v>218.91663891839715</v>
      </c>
      <c r="L85" s="56">
        <f t="shared" si="7"/>
        <v>50.2</v>
      </c>
      <c r="M85" s="56">
        <f t="shared" si="8"/>
        <v>139.19999999999999</v>
      </c>
      <c r="N85" s="56">
        <f t="shared" si="9"/>
        <v>153.19999999999999</v>
      </c>
      <c r="O85" s="56">
        <f t="shared" ref="O85:O86" si="11">(1440+CONVERT(F85,"day","mn")-239)/5</f>
        <v>242.2</v>
      </c>
    </row>
    <row r="86" spans="1:15" x14ac:dyDescent="0.25">
      <c r="A86">
        <v>84</v>
      </c>
      <c r="B86" s="7">
        <v>85</v>
      </c>
      <c r="C86" s="8">
        <v>0.3576388888888889</v>
      </c>
      <c r="D86" s="8">
        <v>0.66666666666666663</v>
      </c>
      <c r="E86" s="8">
        <v>0.70833333333333337</v>
      </c>
      <c r="F86" s="8">
        <v>1.7361111111111112E-2</v>
      </c>
      <c r="G86" s="7">
        <v>110.20985233599583</v>
      </c>
      <c r="H86" s="7">
        <v>108.70678658240134</v>
      </c>
      <c r="I86" s="9" t="s">
        <v>13</v>
      </c>
      <c r="J86" t="s">
        <v>10</v>
      </c>
      <c r="K86">
        <f t="shared" si="6"/>
        <v>218.91663891839715</v>
      </c>
      <c r="L86" s="56">
        <f t="shared" si="7"/>
        <v>55.2</v>
      </c>
      <c r="M86" s="56">
        <f t="shared" si="8"/>
        <v>144.19999999999999</v>
      </c>
      <c r="N86" s="56">
        <f t="shared" si="9"/>
        <v>156.19999999999999</v>
      </c>
      <c r="O86" s="56">
        <f t="shared" si="11"/>
        <v>245.2</v>
      </c>
    </row>
    <row r="87" spans="1:15" x14ac:dyDescent="0.25">
      <c r="A87">
        <v>85</v>
      </c>
      <c r="B87" s="28">
        <v>86</v>
      </c>
      <c r="C87" s="29">
        <v>0.19444444444444445</v>
      </c>
      <c r="D87" s="29">
        <v>0.50347222222222221</v>
      </c>
      <c r="E87" s="29">
        <v>0.54861111111111105</v>
      </c>
      <c r="F87" s="29">
        <v>0.85763888888888884</v>
      </c>
      <c r="G87" s="28">
        <v>103.88497942386834</v>
      </c>
      <c r="H87" s="28">
        <v>97.981818181818156</v>
      </c>
      <c r="I87" s="30" t="s">
        <v>14</v>
      </c>
      <c r="J87" t="s">
        <v>10</v>
      </c>
      <c r="K87">
        <f t="shared" si="6"/>
        <v>201.86679760568649</v>
      </c>
      <c r="L87" s="56">
        <f t="shared" si="7"/>
        <v>8.1999999999999993</v>
      </c>
      <c r="M87" s="56">
        <f t="shared" si="8"/>
        <v>97.2</v>
      </c>
      <c r="N87" s="56">
        <f t="shared" si="9"/>
        <v>110.19999999999997</v>
      </c>
      <c r="O87" s="56">
        <f t="shared" si="10"/>
        <v>199.2</v>
      </c>
    </row>
    <row r="88" spans="1:15" x14ac:dyDescent="0.25">
      <c r="A88">
        <v>86</v>
      </c>
      <c r="B88" s="28">
        <v>87</v>
      </c>
      <c r="C88" s="29">
        <v>0.25</v>
      </c>
      <c r="D88" s="29">
        <v>0.55902777777777779</v>
      </c>
      <c r="E88" s="29">
        <v>0.60416666666666663</v>
      </c>
      <c r="F88" s="29">
        <v>0.91319444444444453</v>
      </c>
      <c r="G88" s="28">
        <v>103.88497942386834</v>
      </c>
      <c r="H88" s="28">
        <v>97.981818181818156</v>
      </c>
      <c r="I88" s="30" t="s">
        <v>14</v>
      </c>
      <c r="J88" t="s">
        <v>10</v>
      </c>
      <c r="K88">
        <f t="shared" si="6"/>
        <v>201.86679760568649</v>
      </c>
      <c r="L88" s="56">
        <f t="shared" si="7"/>
        <v>24.2</v>
      </c>
      <c r="M88" s="56">
        <f t="shared" si="8"/>
        <v>113.2</v>
      </c>
      <c r="N88" s="56">
        <f t="shared" si="9"/>
        <v>126.2</v>
      </c>
      <c r="O88" s="56">
        <f t="shared" si="10"/>
        <v>215.20000000000005</v>
      </c>
    </row>
    <row r="89" spans="1:15" x14ac:dyDescent="0.25">
      <c r="A89">
        <v>87</v>
      </c>
      <c r="B89" s="28">
        <v>88</v>
      </c>
      <c r="C89" s="29">
        <v>0.27777777777777779</v>
      </c>
      <c r="D89" s="29">
        <v>0.58680555555555558</v>
      </c>
      <c r="E89" s="29">
        <v>0.63194444444444442</v>
      </c>
      <c r="F89" s="29">
        <v>0.94097222222222221</v>
      </c>
      <c r="G89" s="28">
        <v>103.88497942386834</v>
      </c>
      <c r="H89" s="28">
        <v>97.981818181818156</v>
      </c>
      <c r="I89" s="30" t="s">
        <v>14</v>
      </c>
      <c r="J89" t="s">
        <v>10</v>
      </c>
      <c r="K89">
        <f t="shared" si="6"/>
        <v>201.86679760568649</v>
      </c>
      <c r="L89" s="56">
        <f t="shared" si="7"/>
        <v>32.200000000000003</v>
      </c>
      <c r="M89" s="56">
        <f t="shared" si="8"/>
        <v>121.2</v>
      </c>
      <c r="N89" s="56">
        <f t="shared" si="9"/>
        <v>134.19999999999999</v>
      </c>
      <c r="O89" s="56">
        <f t="shared" si="10"/>
        <v>223.2</v>
      </c>
    </row>
    <row r="90" spans="1:15" x14ac:dyDescent="0.25">
      <c r="A90">
        <v>88</v>
      </c>
      <c r="B90" s="28">
        <v>89</v>
      </c>
      <c r="C90" s="29">
        <v>0.30555555555555558</v>
      </c>
      <c r="D90" s="29">
        <v>0.61458333333333337</v>
      </c>
      <c r="E90" s="29">
        <v>0.65972222222222221</v>
      </c>
      <c r="F90" s="29">
        <v>0.96875</v>
      </c>
      <c r="G90" s="28">
        <v>103.88497942386834</v>
      </c>
      <c r="H90" s="28">
        <v>97.981818181818156</v>
      </c>
      <c r="I90" s="30" t="s">
        <v>14</v>
      </c>
      <c r="J90" t="s">
        <v>10</v>
      </c>
      <c r="K90">
        <f t="shared" si="6"/>
        <v>201.86679760568649</v>
      </c>
      <c r="L90" s="56">
        <f t="shared" si="7"/>
        <v>40.20000000000001</v>
      </c>
      <c r="M90" s="56">
        <f t="shared" si="8"/>
        <v>129.19999999999999</v>
      </c>
      <c r="N90" s="56">
        <f t="shared" si="9"/>
        <v>142.19999999999999</v>
      </c>
      <c r="O90" s="56">
        <f t="shared" si="10"/>
        <v>231.2</v>
      </c>
    </row>
    <row r="91" spans="1:15" x14ac:dyDescent="0.25">
      <c r="A91">
        <v>89</v>
      </c>
      <c r="B91" s="28">
        <v>90</v>
      </c>
      <c r="C91" s="29">
        <v>0.36111111111111116</v>
      </c>
      <c r="D91" s="29">
        <v>0.67013888888888895</v>
      </c>
      <c r="E91" s="29">
        <v>0.71527777777777768</v>
      </c>
      <c r="F91" s="29">
        <v>2.4305555555555556E-2</v>
      </c>
      <c r="G91" s="28">
        <v>103.88497942386834</v>
      </c>
      <c r="H91" s="28">
        <v>97.981818181818156</v>
      </c>
      <c r="I91" s="30" t="s">
        <v>14</v>
      </c>
      <c r="J91" t="s">
        <v>10</v>
      </c>
      <c r="K91">
        <f t="shared" si="6"/>
        <v>201.86679760568649</v>
      </c>
      <c r="L91" s="56">
        <f t="shared" si="7"/>
        <v>56.200000000000024</v>
      </c>
      <c r="M91" s="56">
        <f t="shared" si="8"/>
        <v>145.20000000000002</v>
      </c>
      <c r="N91" s="56">
        <f t="shared" si="9"/>
        <v>158.19999999999996</v>
      </c>
      <c r="O91" s="56">
        <f>(1440+CONVERT(F91,"day","mn")-239)/5</f>
        <v>247.2</v>
      </c>
    </row>
    <row r="92" spans="1:15" x14ac:dyDescent="0.25">
      <c r="A92">
        <v>90</v>
      </c>
      <c r="B92" s="31">
        <v>91</v>
      </c>
      <c r="C92" s="32">
        <v>0.22222222222222224</v>
      </c>
      <c r="D92" s="32">
        <v>0.54513888888888895</v>
      </c>
      <c r="E92" s="32">
        <v>0.59374999999999989</v>
      </c>
      <c r="F92" s="32">
        <v>0.91666666666666663</v>
      </c>
      <c r="G92" s="31">
        <v>114.25521810699603</v>
      </c>
      <c r="H92" s="31">
        <v>104.90652892561992</v>
      </c>
      <c r="I92" s="33" t="s">
        <v>15</v>
      </c>
      <c r="J92" t="s">
        <v>10</v>
      </c>
      <c r="K92">
        <f t="shared" si="6"/>
        <v>219.16174703261595</v>
      </c>
      <c r="L92" s="56">
        <f t="shared" si="7"/>
        <v>16.2</v>
      </c>
      <c r="M92" s="56">
        <f t="shared" si="8"/>
        <v>109.20000000000002</v>
      </c>
      <c r="N92" s="56">
        <f t="shared" si="9"/>
        <v>123.19999999999997</v>
      </c>
      <c r="O92" s="56">
        <f t="shared" si="10"/>
        <v>216.2</v>
      </c>
    </row>
    <row r="93" spans="1:15" x14ac:dyDescent="0.25">
      <c r="A93">
        <v>91</v>
      </c>
      <c r="B93" s="31">
        <v>92</v>
      </c>
      <c r="C93" s="32">
        <v>0.24305555555555555</v>
      </c>
      <c r="D93" s="32">
        <v>0.5625</v>
      </c>
      <c r="E93" s="32">
        <v>0.61111111111111105</v>
      </c>
      <c r="F93" s="32">
        <v>0.93402777777777779</v>
      </c>
      <c r="G93" s="31">
        <v>114.25521810699603</v>
      </c>
      <c r="H93" s="31">
        <v>104.90652892561992</v>
      </c>
      <c r="I93" s="33" t="s">
        <v>15</v>
      </c>
      <c r="J93" t="s">
        <v>10</v>
      </c>
      <c r="K93">
        <f t="shared" si="6"/>
        <v>219.16174703261595</v>
      </c>
      <c r="L93" s="56">
        <f t="shared" si="7"/>
        <v>22.2</v>
      </c>
      <c r="M93" s="56">
        <f t="shared" si="8"/>
        <v>114.2</v>
      </c>
      <c r="N93" s="56">
        <f t="shared" si="9"/>
        <v>128.19999999999999</v>
      </c>
      <c r="O93" s="56">
        <f t="shared" si="10"/>
        <v>221.2</v>
      </c>
    </row>
    <row r="94" spans="1:15" x14ac:dyDescent="0.25">
      <c r="A94">
        <v>92</v>
      </c>
      <c r="B94" s="31">
        <v>93</v>
      </c>
      <c r="C94" s="32">
        <v>0.2638888888888889</v>
      </c>
      <c r="D94" s="32">
        <v>0.58680555555555558</v>
      </c>
      <c r="E94" s="32">
        <v>0.63541666666666663</v>
      </c>
      <c r="F94" s="32">
        <v>0.95833333333333337</v>
      </c>
      <c r="G94" s="31">
        <v>114.25521810699603</v>
      </c>
      <c r="H94" s="31">
        <v>104.90652892561992</v>
      </c>
      <c r="I94" s="33" t="s">
        <v>15</v>
      </c>
      <c r="J94" t="s">
        <v>10</v>
      </c>
      <c r="K94">
        <f t="shared" si="6"/>
        <v>219.16174703261595</v>
      </c>
      <c r="L94" s="56">
        <f t="shared" si="7"/>
        <v>28.2</v>
      </c>
      <c r="M94" s="56">
        <f t="shared" si="8"/>
        <v>121.2</v>
      </c>
      <c r="N94" s="56">
        <f t="shared" si="9"/>
        <v>135.19999999999999</v>
      </c>
      <c r="O94" s="56">
        <f t="shared" si="10"/>
        <v>228.2</v>
      </c>
    </row>
    <row r="95" spans="1:15" x14ac:dyDescent="0.25">
      <c r="A95">
        <v>93</v>
      </c>
      <c r="B95" s="31">
        <v>94</v>
      </c>
      <c r="C95" s="32">
        <v>0.28472222222222221</v>
      </c>
      <c r="D95" s="32">
        <v>0.60763888888888895</v>
      </c>
      <c r="E95" s="32">
        <v>0.67013888888888884</v>
      </c>
      <c r="F95" s="32">
        <v>0.99305555555555547</v>
      </c>
      <c r="G95" s="31">
        <v>114.25521810699603</v>
      </c>
      <c r="H95" s="31">
        <v>104.90652892561992</v>
      </c>
      <c r="I95" s="33" t="s">
        <v>15</v>
      </c>
      <c r="J95" t="s">
        <v>10</v>
      </c>
      <c r="K95">
        <f t="shared" si="6"/>
        <v>219.16174703261595</v>
      </c>
      <c r="L95" s="56">
        <f t="shared" si="7"/>
        <v>34.200000000000003</v>
      </c>
      <c r="M95" s="56">
        <f t="shared" si="8"/>
        <v>127.20000000000002</v>
      </c>
      <c r="N95" s="56">
        <f t="shared" si="9"/>
        <v>145.19999999999999</v>
      </c>
      <c r="O95" s="56">
        <f t="shared" si="10"/>
        <v>238.19999999999996</v>
      </c>
    </row>
    <row r="96" spans="1:15" x14ac:dyDescent="0.25">
      <c r="A96">
        <v>94</v>
      </c>
      <c r="B96" s="31">
        <v>95</v>
      </c>
      <c r="C96" s="32">
        <v>0.30555555555555558</v>
      </c>
      <c r="D96" s="32">
        <v>0.62847222222222221</v>
      </c>
      <c r="E96" s="32">
        <v>0.67708333333333326</v>
      </c>
      <c r="F96" s="32">
        <v>0</v>
      </c>
      <c r="G96" s="31">
        <v>114.25521810699603</v>
      </c>
      <c r="H96" s="31">
        <v>104.90652892561992</v>
      </c>
      <c r="I96" s="33" t="s">
        <v>15</v>
      </c>
      <c r="J96" t="s">
        <v>10</v>
      </c>
      <c r="K96">
        <f t="shared" si="6"/>
        <v>219.16174703261595</v>
      </c>
      <c r="L96" s="56">
        <f t="shared" si="7"/>
        <v>40.20000000000001</v>
      </c>
      <c r="M96" s="56">
        <f t="shared" si="8"/>
        <v>133.19999999999999</v>
      </c>
      <c r="N96" s="56">
        <f t="shared" si="9"/>
        <v>147.19999999999999</v>
      </c>
      <c r="O96" s="56">
        <f>(1440+CONVERT(F96,"day","mn")-239)/5</f>
        <v>240.2</v>
      </c>
    </row>
    <row r="97" spans="1:15" x14ac:dyDescent="0.25">
      <c r="A97">
        <v>95</v>
      </c>
      <c r="B97" s="34">
        <v>96</v>
      </c>
      <c r="C97" s="35">
        <v>0.80555555555555547</v>
      </c>
      <c r="D97" s="35">
        <v>0.13194444444444445</v>
      </c>
      <c r="E97" s="35"/>
      <c r="F97" s="35"/>
      <c r="G97" s="34">
        <v>269.49836729999998</v>
      </c>
      <c r="H97" s="34">
        <v>0</v>
      </c>
      <c r="I97" s="36" t="s">
        <v>16</v>
      </c>
      <c r="J97" t="s">
        <v>10</v>
      </c>
      <c r="K97">
        <f t="shared" si="6"/>
        <v>269.49836729999998</v>
      </c>
      <c r="L97" s="56">
        <f t="shared" si="7"/>
        <v>184.19999999999996</v>
      </c>
      <c r="M97" s="56">
        <f>(1440+CONVERT(D97,"day","mn")-239)/5</f>
        <v>278.2</v>
      </c>
      <c r="N97" s="56">
        <v>0</v>
      </c>
      <c r="O97" s="56">
        <v>0</v>
      </c>
    </row>
    <row r="98" spans="1:15" x14ac:dyDescent="0.25">
      <c r="A98">
        <v>96</v>
      </c>
      <c r="B98" s="37">
        <v>97</v>
      </c>
      <c r="C98" s="38">
        <v>0.86111111111111116</v>
      </c>
      <c r="D98" s="38">
        <v>0.1875</v>
      </c>
      <c r="E98" s="38"/>
      <c r="F98" s="38"/>
      <c r="G98" s="37">
        <v>281.4936210131317</v>
      </c>
      <c r="H98" s="37">
        <v>0</v>
      </c>
      <c r="I98" s="39" t="s">
        <v>17</v>
      </c>
      <c r="J98" t="s">
        <v>10</v>
      </c>
      <c r="K98">
        <f t="shared" si="6"/>
        <v>281.4936210131317</v>
      </c>
      <c r="L98" s="56">
        <f t="shared" si="7"/>
        <v>200.2</v>
      </c>
      <c r="M98" s="56">
        <f t="shared" si="8"/>
        <v>6.2</v>
      </c>
      <c r="N98" s="56">
        <v>0</v>
      </c>
      <c r="O98" s="56">
        <v>0</v>
      </c>
    </row>
    <row r="99" spans="1:15" x14ac:dyDescent="0.25">
      <c r="A99">
        <v>97</v>
      </c>
      <c r="B99" s="37">
        <v>98</v>
      </c>
      <c r="C99" s="38">
        <v>0.90277777777777779</v>
      </c>
      <c r="D99" s="38">
        <v>0.22916666666666666</v>
      </c>
      <c r="E99" s="38"/>
      <c r="F99" s="38"/>
      <c r="G99" s="37">
        <v>281.4936210131317</v>
      </c>
      <c r="H99" s="37">
        <v>0</v>
      </c>
      <c r="I99" s="39" t="s">
        <v>17</v>
      </c>
      <c r="J99" t="s">
        <v>10</v>
      </c>
      <c r="K99">
        <f t="shared" si="6"/>
        <v>281.4936210131317</v>
      </c>
      <c r="L99" s="56">
        <f t="shared" si="7"/>
        <v>212.2</v>
      </c>
      <c r="M99" s="56">
        <f t="shared" si="8"/>
        <v>18.2</v>
      </c>
      <c r="N99" s="56">
        <v>0</v>
      </c>
      <c r="O99" s="56">
        <v>0</v>
      </c>
    </row>
    <row r="100" spans="1:15" x14ac:dyDescent="0.25">
      <c r="A100">
        <v>98</v>
      </c>
      <c r="B100" s="37">
        <v>99</v>
      </c>
      <c r="C100" s="38">
        <v>0.94444444444444453</v>
      </c>
      <c r="D100" s="38">
        <v>0.27083333333333331</v>
      </c>
      <c r="E100" s="38"/>
      <c r="F100" s="38"/>
      <c r="G100" s="37">
        <v>281.4936210131317</v>
      </c>
      <c r="H100" s="37">
        <v>0</v>
      </c>
      <c r="I100" s="39" t="s">
        <v>17</v>
      </c>
      <c r="J100" t="s">
        <v>10</v>
      </c>
      <c r="K100">
        <f t="shared" si="6"/>
        <v>281.4936210131317</v>
      </c>
      <c r="L100" s="56">
        <f t="shared" si="7"/>
        <v>224.20000000000005</v>
      </c>
      <c r="M100" s="56">
        <f t="shared" si="8"/>
        <v>30.2</v>
      </c>
      <c r="N100" s="56">
        <v>0</v>
      </c>
      <c r="O100" s="56">
        <v>0</v>
      </c>
    </row>
    <row r="101" spans="1:15" x14ac:dyDescent="0.25">
      <c r="A101">
        <v>99</v>
      </c>
      <c r="B101" s="40">
        <v>100</v>
      </c>
      <c r="C101" s="41">
        <v>0.89583333333333337</v>
      </c>
      <c r="D101" s="41">
        <v>0.20833333333333334</v>
      </c>
      <c r="E101" s="41"/>
      <c r="F101" s="41"/>
      <c r="G101" s="40">
        <v>263.77589118198807</v>
      </c>
      <c r="H101" s="40">
        <v>0</v>
      </c>
      <c r="I101" s="42" t="s">
        <v>18</v>
      </c>
      <c r="J101" t="s">
        <v>10</v>
      </c>
      <c r="K101">
        <f t="shared" si="6"/>
        <v>263.77589118198807</v>
      </c>
      <c r="L101" s="56">
        <f t="shared" si="7"/>
        <v>210.2</v>
      </c>
      <c r="M101" s="56">
        <f t="shared" si="8"/>
        <v>12.2</v>
      </c>
      <c r="N101" s="56">
        <v>0</v>
      </c>
      <c r="O101" s="56">
        <v>0</v>
      </c>
    </row>
    <row r="102" spans="1:15" x14ac:dyDescent="0.25">
      <c r="A102">
        <v>100</v>
      </c>
      <c r="B102" s="40">
        <v>101</v>
      </c>
      <c r="C102" s="41">
        <v>0.9375</v>
      </c>
      <c r="D102" s="41">
        <v>0.25</v>
      </c>
      <c r="E102" s="41"/>
      <c r="F102" s="41"/>
      <c r="G102" s="40">
        <v>263.77589118198807</v>
      </c>
      <c r="H102" s="40">
        <v>0</v>
      </c>
      <c r="I102" s="42" t="s">
        <v>18</v>
      </c>
      <c r="J102" t="s">
        <v>10</v>
      </c>
      <c r="K102">
        <f t="shared" si="6"/>
        <v>263.77589118198807</v>
      </c>
      <c r="L102" s="56">
        <f t="shared" si="7"/>
        <v>222.2</v>
      </c>
      <c r="M102" s="56">
        <f t="shared" si="8"/>
        <v>24.2</v>
      </c>
      <c r="N102" s="56">
        <v>0</v>
      </c>
      <c r="O102" s="5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D084-3EB4-4498-ABB8-D13CEA042F72}">
  <sheetPr codeName="Sheet4"/>
  <dimension ref="A1:O102"/>
  <sheetViews>
    <sheetView workbookViewId="0">
      <selection activeCell="L15" sqref="L15"/>
    </sheetView>
  </sheetViews>
  <sheetFormatPr defaultRowHeight="15" x14ac:dyDescent="0.25"/>
  <sheetData>
    <row r="1" spans="1:15" x14ac:dyDescent="0.25">
      <c r="A1" s="3"/>
      <c r="B1" s="3">
        <v>1</v>
      </c>
      <c r="C1" s="55">
        <v>2</v>
      </c>
      <c r="D1" s="59">
        <v>3</v>
      </c>
      <c r="E1" s="55">
        <v>4</v>
      </c>
      <c r="F1" s="59">
        <v>5</v>
      </c>
      <c r="G1" s="55">
        <v>6</v>
      </c>
      <c r="H1" s="3" t="s">
        <v>7</v>
      </c>
      <c r="I1" s="3" t="s">
        <v>8</v>
      </c>
      <c r="J1" t="s">
        <v>9</v>
      </c>
      <c r="L1" t="s">
        <v>19</v>
      </c>
      <c r="M1" t="s">
        <v>20</v>
      </c>
      <c r="N1" t="s">
        <v>21</v>
      </c>
      <c r="O1" t="s">
        <v>22</v>
      </c>
    </row>
    <row r="2" spans="1:15" x14ac:dyDescent="0.25">
      <c r="A2" s="10">
        <v>1</v>
      </c>
      <c r="B2" s="43">
        <v>4.8</v>
      </c>
      <c r="C2" s="43">
        <v>96.6</v>
      </c>
      <c r="D2" s="43">
        <v>108.79999999999998</v>
      </c>
      <c r="E2" s="43">
        <v>200.6</v>
      </c>
      <c r="F2" s="60">
        <v>103.56454501452063</v>
      </c>
      <c r="G2" s="60">
        <v>83.120059865303276</v>
      </c>
      <c r="H2" s="12">
        <v>166</v>
      </c>
      <c r="I2" t="s">
        <v>10</v>
      </c>
      <c r="J2">
        <f>SUM(F2:G2)</f>
        <v>186.68460487982389</v>
      </c>
      <c r="L2">
        <v>4.8</v>
      </c>
      <c r="M2">
        <v>96.6</v>
      </c>
      <c r="N2">
        <v>108.79999999999998</v>
      </c>
      <c r="O2">
        <v>200.6</v>
      </c>
    </row>
    <row r="3" spans="1:15" x14ac:dyDescent="0.25">
      <c r="A3" s="10">
        <v>2</v>
      </c>
      <c r="B3" s="43">
        <v>10.4</v>
      </c>
      <c r="C3" s="43">
        <v>102.19999999999997</v>
      </c>
      <c r="D3" s="43">
        <v>114.4</v>
      </c>
      <c r="E3" s="43">
        <v>206.20000000000005</v>
      </c>
      <c r="F3" s="60">
        <v>103.56454501452063</v>
      </c>
      <c r="G3" s="60">
        <v>83.120059865303276</v>
      </c>
      <c r="H3" s="12">
        <v>166</v>
      </c>
      <c r="I3" t="s">
        <v>10</v>
      </c>
      <c r="J3">
        <f t="shared" ref="J3:J66" si="0">SUM(F3:G3)</f>
        <v>186.68460487982389</v>
      </c>
      <c r="L3">
        <v>10.4</v>
      </c>
      <c r="M3">
        <v>102.19999999999997</v>
      </c>
      <c r="N3">
        <v>114.4</v>
      </c>
      <c r="O3">
        <v>206.20000000000005</v>
      </c>
    </row>
    <row r="4" spans="1:15" x14ac:dyDescent="0.25">
      <c r="A4" s="10">
        <v>3</v>
      </c>
      <c r="B4" s="43">
        <v>13</v>
      </c>
      <c r="C4" s="43">
        <v>104.8</v>
      </c>
      <c r="D4" s="43">
        <v>117</v>
      </c>
      <c r="E4" s="43">
        <v>208.8</v>
      </c>
      <c r="F4" s="60">
        <v>103.56454501452063</v>
      </c>
      <c r="G4" s="60">
        <v>83.120059865303276</v>
      </c>
      <c r="H4" s="12">
        <v>166</v>
      </c>
      <c r="I4" t="s">
        <v>10</v>
      </c>
      <c r="J4">
        <f t="shared" si="0"/>
        <v>186.68460487982389</v>
      </c>
      <c r="L4">
        <v>13</v>
      </c>
      <c r="M4">
        <v>104.8</v>
      </c>
      <c r="N4">
        <v>117</v>
      </c>
      <c r="O4">
        <v>208.8</v>
      </c>
    </row>
    <row r="5" spans="1:15" x14ac:dyDescent="0.25">
      <c r="A5" s="10">
        <v>4</v>
      </c>
      <c r="B5" s="43">
        <v>15.8</v>
      </c>
      <c r="C5" s="43">
        <v>107.8</v>
      </c>
      <c r="D5" s="43">
        <v>119.79999999999998</v>
      </c>
      <c r="E5" s="43">
        <v>211.8</v>
      </c>
      <c r="F5" s="60">
        <v>103.56454501452063</v>
      </c>
      <c r="G5" s="60">
        <v>83.120059865303276</v>
      </c>
      <c r="H5" s="12">
        <v>166</v>
      </c>
      <c r="I5" t="s">
        <v>10</v>
      </c>
      <c r="J5">
        <f t="shared" si="0"/>
        <v>186.68460487982389</v>
      </c>
      <c r="L5">
        <v>15.8</v>
      </c>
      <c r="M5">
        <v>107.8</v>
      </c>
      <c r="N5">
        <v>119.79999999999998</v>
      </c>
      <c r="O5">
        <v>211.8</v>
      </c>
    </row>
    <row r="6" spans="1:15" x14ac:dyDescent="0.25">
      <c r="A6" s="10">
        <v>5</v>
      </c>
      <c r="B6" s="43">
        <v>19</v>
      </c>
      <c r="C6" s="43">
        <v>110.40000000000002</v>
      </c>
      <c r="D6" s="43">
        <v>122.6</v>
      </c>
      <c r="E6" s="43">
        <v>214.40000000000003</v>
      </c>
      <c r="F6" s="60">
        <v>103.56454501452063</v>
      </c>
      <c r="G6" s="60">
        <v>83.120059865303276</v>
      </c>
      <c r="H6" s="12">
        <v>166</v>
      </c>
      <c r="I6" t="s">
        <v>10</v>
      </c>
      <c r="J6">
        <f t="shared" si="0"/>
        <v>186.68460487982389</v>
      </c>
      <c r="L6">
        <v>19</v>
      </c>
      <c r="M6">
        <v>110.40000000000002</v>
      </c>
      <c r="N6">
        <v>122.6</v>
      </c>
      <c r="O6">
        <v>214.40000000000003</v>
      </c>
    </row>
    <row r="7" spans="1:15" x14ac:dyDescent="0.25">
      <c r="A7" s="10">
        <v>6</v>
      </c>
      <c r="B7" s="43">
        <v>21.4</v>
      </c>
      <c r="C7" s="43">
        <v>113.4</v>
      </c>
      <c r="D7" s="43">
        <v>125.4</v>
      </c>
      <c r="E7" s="43">
        <v>216.2</v>
      </c>
      <c r="F7" s="60">
        <v>103.56454501452063</v>
      </c>
      <c r="G7" s="60">
        <v>83.120059865303276</v>
      </c>
      <c r="H7" s="12">
        <v>166</v>
      </c>
      <c r="I7" t="s">
        <v>10</v>
      </c>
      <c r="J7">
        <f t="shared" si="0"/>
        <v>186.68460487982389</v>
      </c>
      <c r="L7">
        <v>21.4</v>
      </c>
      <c r="M7">
        <v>113.4</v>
      </c>
      <c r="N7">
        <v>125.4</v>
      </c>
      <c r="O7">
        <v>216.2</v>
      </c>
    </row>
    <row r="8" spans="1:15" x14ac:dyDescent="0.25">
      <c r="A8" s="10">
        <v>7</v>
      </c>
      <c r="B8" s="43">
        <v>24.2</v>
      </c>
      <c r="C8" s="43">
        <v>115.6</v>
      </c>
      <c r="D8" s="43">
        <v>128.19999999999999</v>
      </c>
      <c r="E8" s="43">
        <v>220</v>
      </c>
      <c r="F8" s="60">
        <v>103.56454501452063</v>
      </c>
      <c r="G8" s="60">
        <v>83.120059865303276</v>
      </c>
      <c r="H8" s="12">
        <v>166</v>
      </c>
      <c r="I8" t="s">
        <v>10</v>
      </c>
      <c r="J8">
        <f t="shared" si="0"/>
        <v>186.68460487982389</v>
      </c>
      <c r="L8">
        <v>24.2</v>
      </c>
      <c r="M8">
        <v>115.6</v>
      </c>
      <c r="N8">
        <v>128.19999999999999</v>
      </c>
      <c r="O8">
        <v>220</v>
      </c>
    </row>
    <row r="9" spans="1:15" x14ac:dyDescent="0.25">
      <c r="A9" s="10">
        <v>8</v>
      </c>
      <c r="B9" s="43">
        <v>27</v>
      </c>
      <c r="C9" s="43">
        <v>119.00000000000003</v>
      </c>
      <c r="D9" s="43">
        <v>130.99999999999997</v>
      </c>
      <c r="E9" s="43">
        <v>223</v>
      </c>
      <c r="F9" s="60">
        <v>103.56454501452063</v>
      </c>
      <c r="G9" s="60">
        <v>83.120059865303276</v>
      </c>
      <c r="H9" s="12">
        <v>166</v>
      </c>
      <c r="I9" t="s">
        <v>10</v>
      </c>
      <c r="J9">
        <f t="shared" si="0"/>
        <v>186.68460487982389</v>
      </c>
      <c r="L9">
        <v>27</v>
      </c>
      <c r="M9">
        <v>119.00000000000003</v>
      </c>
      <c r="N9">
        <v>130.99999999999997</v>
      </c>
      <c r="O9">
        <v>223</v>
      </c>
    </row>
    <row r="10" spans="1:15" x14ac:dyDescent="0.25">
      <c r="A10" s="10">
        <v>9</v>
      </c>
      <c r="B10" s="43">
        <v>29.800000000000011</v>
      </c>
      <c r="C10" s="43">
        <v>121.6</v>
      </c>
      <c r="D10" s="43">
        <v>136.59999999999997</v>
      </c>
      <c r="E10" s="43">
        <v>228.6</v>
      </c>
      <c r="F10" s="60">
        <v>103.56454501452063</v>
      </c>
      <c r="G10" s="60">
        <v>83.120059865303276</v>
      </c>
      <c r="H10" s="12">
        <v>166</v>
      </c>
      <c r="I10" t="s">
        <v>10</v>
      </c>
      <c r="J10">
        <f t="shared" si="0"/>
        <v>186.68460487982389</v>
      </c>
      <c r="L10">
        <v>29.800000000000011</v>
      </c>
      <c r="M10">
        <v>121.6</v>
      </c>
      <c r="N10">
        <v>136.59999999999997</v>
      </c>
      <c r="O10">
        <v>228.6</v>
      </c>
    </row>
    <row r="11" spans="1:15" x14ac:dyDescent="0.25">
      <c r="A11" s="10">
        <v>10</v>
      </c>
      <c r="B11" s="43">
        <v>32.6</v>
      </c>
      <c r="C11" s="43">
        <v>128.59999999999997</v>
      </c>
      <c r="D11" s="43">
        <v>142.19999999999999</v>
      </c>
      <c r="E11" s="43">
        <v>234.2</v>
      </c>
      <c r="F11" s="60">
        <v>103.56454501452063</v>
      </c>
      <c r="G11" s="60">
        <v>83.120059865303276</v>
      </c>
      <c r="H11" s="12">
        <v>166</v>
      </c>
      <c r="I11" t="s">
        <v>10</v>
      </c>
      <c r="J11">
        <f t="shared" si="0"/>
        <v>186.68460487982389</v>
      </c>
      <c r="L11">
        <v>32.6</v>
      </c>
      <c r="M11">
        <v>128.59999999999997</v>
      </c>
      <c r="N11">
        <v>142.19999999999999</v>
      </c>
      <c r="O11">
        <v>234.2</v>
      </c>
    </row>
    <row r="12" spans="1:15" x14ac:dyDescent="0.25">
      <c r="A12" s="10">
        <v>11</v>
      </c>
      <c r="B12" s="43">
        <v>35.399999999999991</v>
      </c>
      <c r="C12" s="43">
        <v>127.19999999999997</v>
      </c>
      <c r="D12" s="43">
        <v>144.99999999999997</v>
      </c>
      <c r="E12" s="43">
        <v>236.8</v>
      </c>
      <c r="F12" s="60">
        <v>103.56454501452063</v>
      </c>
      <c r="G12" s="60">
        <v>83.120059865303276</v>
      </c>
      <c r="H12" s="12">
        <v>166</v>
      </c>
      <c r="I12" t="s">
        <v>10</v>
      </c>
      <c r="J12">
        <f t="shared" si="0"/>
        <v>186.68460487982389</v>
      </c>
      <c r="L12">
        <v>35.399999999999991</v>
      </c>
      <c r="M12">
        <v>127.19999999999997</v>
      </c>
      <c r="N12">
        <v>144.99999999999997</v>
      </c>
      <c r="O12">
        <v>236.8</v>
      </c>
    </row>
    <row r="13" spans="1:15" x14ac:dyDescent="0.25">
      <c r="A13" s="10">
        <v>12</v>
      </c>
      <c r="B13" s="43">
        <v>38.200000000000003</v>
      </c>
      <c r="C13" s="43">
        <v>130.19999999999999</v>
      </c>
      <c r="D13" s="43">
        <v>147.79999999999998</v>
      </c>
      <c r="E13" s="43">
        <v>239.8</v>
      </c>
      <c r="F13" s="60">
        <v>103.56454501452063</v>
      </c>
      <c r="G13" s="60">
        <v>83.120059865303276</v>
      </c>
      <c r="H13" s="12">
        <v>166</v>
      </c>
      <c r="I13" t="s">
        <v>10</v>
      </c>
      <c r="J13">
        <f t="shared" si="0"/>
        <v>186.68460487982389</v>
      </c>
      <c r="L13">
        <v>38.200000000000003</v>
      </c>
      <c r="M13">
        <v>130.19999999999999</v>
      </c>
      <c r="N13">
        <v>147.79999999999998</v>
      </c>
      <c r="O13">
        <v>239.8</v>
      </c>
    </row>
    <row r="14" spans="1:15" x14ac:dyDescent="0.25">
      <c r="A14" s="10">
        <v>13</v>
      </c>
      <c r="B14" s="43">
        <v>41</v>
      </c>
      <c r="C14" s="43">
        <v>132.80000000000001</v>
      </c>
      <c r="D14" s="43">
        <v>151.19999999999999</v>
      </c>
      <c r="E14" s="43">
        <v>243</v>
      </c>
      <c r="F14" s="60">
        <v>103.56454501452063</v>
      </c>
      <c r="G14" s="60">
        <v>83.120059865303276</v>
      </c>
      <c r="H14" s="12">
        <v>166</v>
      </c>
      <c r="I14" t="s">
        <v>10</v>
      </c>
      <c r="J14">
        <f t="shared" si="0"/>
        <v>186.68460487982389</v>
      </c>
      <c r="L14">
        <v>41</v>
      </c>
      <c r="M14">
        <v>132.80000000000001</v>
      </c>
      <c r="N14">
        <v>151.19999999999999</v>
      </c>
      <c r="O14">
        <v>243</v>
      </c>
    </row>
    <row r="15" spans="1:15" x14ac:dyDescent="0.25">
      <c r="A15" s="10">
        <v>14</v>
      </c>
      <c r="B15" s="43">
        <v>43.8</v>
      </c>
      <c r="C15" s="43">
        <v>135.80000000000001</v>
      </c>
      <c r="D15" s="43">
        <v>153.4</v>
      </c>
      <c r="E15" s="43">
        <v>245.4</v>
      </c>
      <c r="F15" s="60">
        <v>103.56454501452063</v>
      </c>
      <c r="G15" s="60">
        <v>83.120059865303276</v>
      </c>
      <c r="H15" s="12">
        <v>166</v>
      </c>
      <c r="I15" t="s">
        <v>10</v>
      </c>
      <c r="J15">
        <f t="shared" si="0"/>
        <v>186.68460487982389</v>
      </c>
      <c r="L15">
        <v>43.8</v>
      </c>
      <c r="M15">
        <v>135.80000000000001</v>
      </c>
      <c r="N15">
        <v>153.4</v>
      </c>
      <c r="O15">
        <v>245.4</v>
      </c>
    </row>
    <row r="16" spans="1:15" x14ac:dyDescent="0.25">
      <c r="A16" s="10">
        <v>15</v>
      </c>
      <c r="B16" s="43">
        <v>47.4</v>
      </c>
      <c r="C16" s="43">
        <v>137.19999999999999</v>
      </c>
      <c r="D16" s="43">
        <v>159.19999999999999</v>
      </c>
      <c r="E16" s="43">
        <v>251.4</v>
      </c>
      <c r="F16" s="60">
        <v>103.56454501452063</v>
      </c>
      <c r="G16" s="60">
        <v>83.120059865303276</v>
      </c>
      <c r="H16" s="12">
        <v>166</v>
      </c>
      <c r="I16" t="s">
        <v>10</v>
      </c>
      <c r="J16">
        <f t="shared" si="0"/>
        <v>186.68460487982389</v>
      </c>
      <c r="L16">
        <v>47.4</v>
      </c>
      <c r="M16">
        <v>137.19999999999999</v>
      </c>
      <c r="N16">
        <v>159.19999999999999</v>
      </c>
      <c r="O16">
        <v>251.4</v>
      </c>
    </row>
    <row r="17" spans="1:15" x14ac:dyDescent="0.25">
      <c r="A17" s="10">
        <v>16</v>
      </c>
      <c r="B17" s="43">
        <v>49.400000000000013</v>
      </c>
      <c r="C17" s="43">
        <v>141.4</v>
      </c>
      <c r="D17" s="43">
        <v>0</v>
      </c>
      <c r="E17" s="43">
        <v>0</v>
      </c>
      <c r="F17" s="60">
        <v>103.56454501452063</v>
      </c>
      <c r="G17" s="60">
        <v>0</v>
      </c>
      <c r="H17" s="12">
        <v>166</v>
      </c>
      <c r="I17" t="s">
        <v>10</v>
      </c>
      <c r="J17">
        <f t="shared" si="0"/>
        <v>103.56454501452063</v>
      </c>
      <c r="L17">
        <v>49.400000000000013</v>
      </c>
      <c r="M17">
        <v>141.4</v>
      </c>
      <c r="N17">
        <v>0</v>
      </c>
      <c r="O17">
        <v>0</v>
      </c>
    </row>
    <row r="18" spans="1:15" x14ac:dyDescent="0.25">
      <c r="A18" s="10">
        <v>17</v>
      </c>
      <c r="B18" s="43">
        <v>54.999999999999979</v>
      </c>
      <c r="C18" s="43">
        <v>147</v>
      </c>
      <c r="D18" s="43">
        <v>0</v>
      </c>
      <c r="E18" s="43">
        <v>0</v>
      </c>
      <c r="F18" s="60">
        <v>103.56454501452063</v>
      </c>
      <c r="G18" s="60">
        <v>0</v>
      </c>
      <c r="H18" s="12">
        <v>166</v>
      </c>
      <c r="I18" t="s">
        <v>10</v>
      </c>
      <c r="J18">
        <f t="shared" si="0"/>
        <v>103.56454501452063</v>
      </c>
      <c r="L18">
        <v>54.999999999999979</v>
      </c>
      <c r="M18">
        <v>147</v>
      </c>
      <c r="N18">
        <v>0</v>
      </c>
      <c r="O18">
        <v>0</v>
      </c>
    </row>
    <row r="19" spans="1:15" x14ac:dyDescent="0.25">
      <c r="A19" s="13">
        <v>18</v>
      </c>
      <c r="B19" s="44">
        <v>16.2</v>
      </c>
      <c r="C19" s="44">
        <v>105.2</v>
      </c>
      <c r="D19" s="44">
        <v>117.2</v>
      </c>
      <c r="E19" s="44">
        <v>206.20000000000005</v>
      </c>
      <c r="F19" s="61">
        <v>97.608770576131477</v>
      </c>
      <c r="G19" s="61">
        <v>78.929543039319853</v>
      </c>
      <c r="H19" s="15">
        <v>183</v>
      </c>
      <c r="I19" t="s">
        <v>10</v>
      </c>
      <c r="J19">
        <f t="shared" si="0"/>
        <v>176.53831361545133</v>
      </c>
      <c r="L19">
        <v>16.2</v>
      </c>
      <c r="M19">
        <v>105.2</v>
      </c>
      <c r="N19">
        <v>117.2</v>
      </c>
      <c r="O19">
        <v>206.20000000000005</v>
      </c>
    </row>
    <row r="20" spans="1:15" x14ac:dyDescent="0.25">
      <c r="A20" s="13">
        <v>19</v>
      </c>
      <c r="B20" s="44">
        <v>22.2</v>
      </c>
      <c r="C20" s="44">
        <v>111.2</v>
      </c>
      <c r="D20" s="44">
        <v>123.2</v>
      </c>
      <c r="E20" s="44">
        <v>212.2</v>
      </c>
      <c r="F20" s="61">
        <v>97.608770576131477</v>
      </c>
      <c r="G20" s="61">
        <v>78.929543039319853</v>
      </c>
      <c r="H20" s="15">
        <v>183</v>
      </c>
      <c r="I20" t="s">
        <v>10</v>
      </c>
      <c r="J20">
        <f t="shared" si="0"/>
        <v>176.53831361545133</v>
      </c>
      <c r="L20">
        <v>22.2</v>
      </c>
      <c r="M20">
        <v>111.2</v>
      </c>
      <c r="N20">
        <v>123.2</v>
      </c>
      <c r="O20">
        <v>212.2</v>
      </c>
    </row>
    <row r="21" spans="1:15" x14ac:dyDescent="0.25">
      <c r="A21" s="13">
        <v>20</v>
      </c>
      <c r="B21" s="44">
        <v>29.2</v>
      </c>
      <c r="C21" s="44">
        <v>118.20000000000002</v>
      </c>
      <c r="D21" s="44">
        <v>130.19999999999999</v>
      </c>
      <c r="E21" s="44">
        <v>219.2</v>
      </c>
      <c r="F21" s="61">
        <v>97.608770576131477</v>
      </c>
      <c r="G21" s="61">
        <v>78.929543039319853</v>
      </c>
      <c r="H21" s="15">
        <v>183</v>
      </c>
      <c r="I21" t="s">
        <v>10</v>
      </c>
      <c r="J21">
        <f t="shared" si="0"/>
        <v>176.53831361545133</v>
      </c>
      <c r="L21">
        <v>29.2</v>
      </c>
      <c r="M21">
        <v>118.20000000000002</v>
      </c>
      <c r="N21">
        <v>130.19999999999999</v>
      </c>
      <c r="O21">
        <v>219.2</v>
      </c>
    </row>
    <row r="22" spans="1:15" x14ac:dyDescent="0.25">
      <c r="A22" s="13">
        <v>21</v>
      </c>
      <c r="B22" s="44">
        <v>36.200000000000003</v>
      </c>
      <c r="C22" s="44">
        <v>125.2</v>
      </c>
      <c r="D22" s="44">
        <v>137.19999999999999</v>
      </c>
      <c r="E22" s="44">
        <v>226.2</v>
      </c>
      <c r="F22" s="61">
        <v>97.608770576131477</v>
      </c>
      <c r="G22" s="61">
        <v>78.929543039319853</v>
      </c>
      <c r="H22" s="15">
        <v>183</v>
      </c>
      <c r="I22" t="s">
        <v>10</v>
      </c>
      <c r="J22">
        <f t="shared" si="0"/>
        <v>176.53831361545133</v>
      </c>
      <c r="L22">
        <v>36.200000000000003</v>
      </c>
      <c r="M22">
        <v>125.2</v>
      </c>
      <c r="N22">
        <v>137.19999999999999</v>
      </c>
      <c r="O22">
        <v>226.2</v>
      </c>
    </row>
    <row r="23" spans="1:15" x14ac:dyDescent="0.25">
      <c r="A23" s="13">
        <v>22</v>
      </c>
      <c r="B23" s="44">
        <v>38.200000000000003</v>
      </c>
      <c r="C23" s="44">
        <v>127.20000000000002</v>
      </c>
      <c r="D23" s="44">
        <v>139.19999999999999</v>
      </c>
      <c r="E23" s="44">
        <v>228.2</v>
      </c>
      <c r="F23" s="61">
        <v>97.608770576131477</v>
      </c>
      <c r="G23" s="61">
        <v>78.929543039319853</v>
      </c>
      <c r="H23" s="15">
        <v>183</v>
      </c>
      <c r="I23" t="s">
        <v>10</v>
      </c>
      <c r="J23">
        <f t="shared" si="0"/>
        <v>176.53831361545133</v>
      </c>
      <c r="L23">
        <v>38.200000000000003</v>
      </c>
      <c r="M23">
        <v>127.20000000000002</v>
      </c>
      <c r="N23">
        <v>139.19999999999999</v>
      </c>
      <c r="O23">
        <v>228.2</v>
      </c>
    </row>
    <row r="24" spans="1:15" x14ac:dyDescent="0.25">
      <c r="A24" s="13">
        <v>23</v>
      </c>
      <c r="B24" s="44">
        <v>43.2</v>
      </c>
      <c r="C24" s="44">
        <v>132.19999999999999</v>
      </c>
      <c r="D24" s="44">
        <v>150.19999999999999</v>
      </c>
      <c r="E24" s="44">
        <v>239.2</v>
      </c>
      <c r="F24" s="61">
        <v>97.608770576131477</v>
      </c>
      <c r="G24" s="61">
        <v>78.929543039319853</v>
      </c>
      <c r="H24" s="15">
        <v>183</v>
      </c>
      <c r="I24" t="s">
        <v>10</v>
      </c>
      <c r="J24">
        <f t="shared" si="0"/>
        <v>176.53831361545133</v>
      </c>
      <c r="L24">
        <v>43.2</v>
      </c>
      <c r="M24">
        <v>132.19999999999999</v>
      </c>
      <c r="N24">
        <v>150.19999999999999</v>
      </c>
      <c r="O24">
        <v>239.2</v>
      </c>
    </row>
    <row r="25" spans="1:15" x14ac:dyDescent="0.25">
      <c r="A25" s="13">
        <v>24</v>
      </c>
      <c r="B25" s="44">
        <v>49.20000000000001</v>
      </c>
      <c r="C25" s="44">
        <v>138.19999999999999</v>
      </c>
      <c r="D25" s="44">
        <v>152.20000000000002</v>
      </c>
      <c r="E25" s="44">
        <v>241.2</v>
      </c>
      <c r="F25" s="61">
        <v>97.608770576131477</v>
      </c>
      <c r="G25" s="61">
        <v>78.929543039319853</v>
      </c>
      <c r="H25" s="15">
        <v>183</v>
      </c>
      <c r="I25" t="s">
        <v>10</v>
      </c>
      <c r="J25">
        <f t="shared" si="0"/>
        <v>176.53831361545133</v>
      </c>
      <c r="L25">
        <v>49.20000000000001</v>
      </c>
      <c r="M25">
        <v>138.19999999999999</v>
      </c>
      <c r="N25">
        <v>152.20000000000002</v>
      </c>
      <c r="O25">
        <v>241.2</v>
      </c>
    </row>
    <row r="26" spans="1:15" x14ac:dyDescent="0.25">
      <c r="A26" s="13">
        <v>25</v>
      </c>
      <c r="B26" s="44">
        <v>52.20000000000001</v>
      </c>
      <c r="C26" s="44">
        <v>140.19999999999999</v>
      </c>
      <c r="D26" s="44">
        <v>0</v>
      </c>
      <c r="E26" s="44">
        <v>0</v>
      </c>
      <c r="F26" s="61">
        <v>97.608770576131477</v>
      </c>
      <c r="G26" s="61">
        <v>0</v>
      </c>
      <c r="H26" s="15">
        <v>183</v>
      </c>
      <c r="I26" t="s">
        <v>10</v>
      </c>
      <c r="J26">
        <f t="shared" si="0"/>
        <v>97.608770576131477</v>
      </c>
      <c r="L26">
        <v>52.20000000000001</v>
      </c>
      <c r="M26">
        <v>140.19999999999999</v>
      </c>
      <c r="N26">
        <v>0</v>
      </c>
      <c r="O26">
        <v>0</v>
      </c>
    </row>
    <row r="27" spans="1:15" x14ac:dyDescent="0.25">
      <c r="A27" s="16">
        <v>26</v>
      </c>
      <c r="B27" s="45">
        <v>8.1999999999999993</v>
      </c>
      <c r="C27" s="45">
        <v>97.2</v>
      </c>
      <c r="D27" s="45">
        <v>109.20000000000002</v>
      </c>
      <c r="E27" s="45">
        <v>196.2</v>
      </c>
      <c r="F27" s="62">
        <v>109.07694375857339</v>
      </c>
      <c r="G27" s="62">
        <v>80.852958546280504</v>
      </c>
      <c r="H27" s="18">
        <v>199</v>
      </c>
      <c r="I27" t="s">
        <v>10</v>
      </c>
      <c r="J27">
        <f t="shared" si="0"/>
        <v>189.9299023048539</v>
      </c>
      <c r="L27">
        <v>8.1999999999999993</v>
      </c>
      <c r="M27">
        <v>97.2</v>
      </c>
      <c r="N27">
        <v>109.20000000000002</v>
      </c>
      <c r="O27">
        <v>196.2</v>
      </c>
    </row>
    <row r="28" spans="1:15" x14ac:dyDescent="0.25">
      <c r="A28" s="16">
        <v>27</v>
      </c>
      <c r="B28" s="45">
        <v>12.2</v>
      </c>
      <c r="C28" s="45">
        <v>101.19999999999997</v>
      </c>
      <c r="D28" s="45">
        <v>113.2</v>
      </c>
      <c r="E28" s="45">
        <v>202.19999999999996</v>
      </c>
      <c r="F28" s="62">
        <v>109.07694375857339</v>
      </c>
      <c r="G28" s="62">
        <v>80.852958546280504</v>
      </c>
      <c r="H28" s="18">
        <v>199</v>
      </c>
      <c r="I28" t="s">
        <v>10</v>
      </c>
      <c r="J28">
        <f t="shared" si="0"/>
        <v>189.9299023048539</v>
      </c>
      <c r="L28">
        <v>12.2</v>
      </c>
      <c r="M28">
        <v>101.19999999999997</v>
      </c>
      <c r="N28">
        <v>113.2</v>
      </c>
      <c r="O28">
        <v>202.19999999999996</v>
      </c>
    </row>
    <row r="29" spans="1:15" x14ac:dyDescent="0.25">
      <c r="A29" s="16">
        <v>28</v>
      </c>
      <c r="B29" s="45">
        <v>16.199999999999932</v>
      </c>
      <c r="C29" s="45">
        <v>106.2</v>
      </c>
      <c r="D29" s="45">
        <v>117.20000000000009</v>
      </c>
      <c r="E29" s="45">
        <v>207.2</v>
      </c>
      <c r="F29" s="62">
        <v>109.07694375857339</v>
      </c>
      <c r="G29" s="62">
        <v>80.852958546280504</v>
      </c>
      <c r="H29" s="18">
        <v>199</v>
      </c>
      <c r="I29" t="s">
        <v>10</v>
      </c>
      <c r="J29">
        <f t="shared" si="0"/>
        <v>189.9299023048539</v>
      </c>
      <c r="L29">
        <v>16.199999999999932</v>
      </c>
      <c r="M29">
        <v>106.2</v>
      </c>
      <c r="N29">
        <v>117.20000000000009</v>
      </c>
      <c r="O29">
        <v>207.2</v>
      </c>
    </row>
    <row r="30" spans="1:15" x14ac:dyDescent="0.25">
      <c r="A30" s="16">
        <v>29</v>
      </c>
      <c r="B30" s="45">
        <v>20.199999999999967</v>
      </c>
      <c r="C30" s="45">
        <v>109.20000000000002</v>
      </c>
      <c r="D30" s="45">
        <v>121.19999999999986</v>
      </c>
      <c r="E30" s="45">
        <v>210.2</v>
      </c>
      <c r="F30" s="62">
        <v>109.07694375857339</v>
      </c>
      <c r="G30" s="62">
        <v>80.852958546280504</v>
      </c>
      <c r="H30" s="18">
        <v>199</v>
      </c>
      <c r="I30" t="s">
        <v>10</v>
      </c>
      <c r="J30">
        <f t="shared" si="0"/>
        <v>189.9299023048539</v>
      </c>
      <c r="L30">
        <v>20.199999999999967</v>
      </c>
      <c r="M30">
        <v>109.20000000000002</v>
      </c>
      <c r="N30">
        <v>121.19999999999986</v>
      </c>
      <c r="O30">
        <v>210.2</v>
      </c>
    </row>
    <row r="31" spans="1:15" x14ac:dyDescent="0.25">
      <c r="A31" s="16">
        <v>30</v>
      </c>
      <c r="B31" s="45">
        <v>23.2</v>
      </c>
      <c r="C31" s="45">
        <v>112.2</v>
      </c>
      <c r="D31" s="45">
        <v>124.2</v>
      </c>
      <c r="E31" s="45">
        <v>213.2</v>
      </c>
      <c r="F31" s="62">
        <v>109.07694375857339</v>
      </c>
      <c r="G31" s="62">
        <v>80.852958546280504</v>
      </c>
      <c r="H31" s="18">
        <v>199</v>
      </c>
      <c r="I31" t="s">
        <v>10</v>
      </c>
      <c r="J31">
        <f t="shared" si="0"/>
        <v>189.9299023048539</v>
      </c>
      <c r="L31">
        <v>23.2</v>
      </c>
      <c r="M31">
        <v>112.2</v>
      </c>
      <c r="N31">
        <v>124.2</v>
      </c>
      <c r="O31">
        <v>213.2</v>
      </c>
    </row>
    <row r="32" spans="1:15" x14ac:dyDescent="0.25">
      <c r="A32" s="16">
        <v>31</v>
      </c>
      <c r="B32" s="45">
        <v>26.20000000000001</v>
      </c>
      <c r="C32" s="45">
        <v>115.2</v>
      </c>
      <c r="D32" s="45">
        <v>127.20000000000002</v>
      </c>
      <c r="E32" s="45">
        <v>216.2</v>
      </c>
      <c r="F32" s="62">
        <v>109.07694375857339</v>
      </c>
      <c r="G32" s="62">
        <v>80.852958546280504</v>
      </c>
      <c r="H32" s="18">
        <v>199</v>
      </c>
      <c r="I32" t="s">
        <v>10</v>
      </c>
      <c r="J32">
        <f t="shared" si="0"/>
        <v>189.9299023048539</v>
      </c>
      <c r="L32">
        <v>26.20000000000001</v>
      </c>
      <c r="M32">
        <v>115.2</v>
      </c>
      <c r="N32">
        <v>127.20000000000002</v>
      </c>
      <c r="O32">
        <v>216.2</v>
      </c>
    </row>
    <row r="33" spans="1:15" x14ac:dyDescent="0.25">
      <c r="A33" s="16">
        <v>32</v>
      </c>
      <c r="B33" s="45">
        <v>29.199999999999967</v>
      </c>
      <c r="C33" s="45">
        <v>118.20000000000002</v>
      </c>
      <c r="D33" s="45">
        <v>130.19999999999999</v>
      </c>
      <c r="E33" s="45">
        <v>219.2</v>
      </c>
      <c r="F33" s="62">
        <v>109.07694375857339</v>
      </c>
      <c r="G33" s="62">
        <v>80.852958546280504</v>
      </c>
      <c r="H33" s="18">
        <v>199</v>
      </c>
      <c r="I33" t="s">
        <v>10</v>
      </c>
      <c r="J33">
        <f t="shared" si="0"/>
        <v>189.9299023048539</v>
      </c>
      <c r="L33">
        <v>29.199999999999967</v>
      </c>
      <c r="M33">
        <v>118.20000000000002</v>
      </c>
      <c r="N33">
        <v>130.19999999999999</v>
      </c>
      <c r="O33">
        <v>219.2</v>
      </c>
    </row>
    <row r="34" spans="1:15" x14ac:dyDescent="0.25">
      <c r="A34" s="16">
        <v>33</v>
      </c>
      <c r="B34" s="45">
        <v>32.200000000000067</v>
      </c>
      <c r="C34" s="45">
        <v>121.2</v>
      </c>
      <c r="D34" s="45">
        <v>133.19999999999999</v>
      </c>
      <c r="E34" s="45">
        <v>222.2</v>
      </c>
      <c r="F34" s="62">
        <v>109.07694375857339</v>
      </c>
      <c r="G34" s="62">
        <v>80.852958546280504</v>
      </c>
      <c r="H34" s="18">
        <v>199</v>
      </c>
      <c r="I34" t="s">
        <v>10</v>
      </c>
      <c r="J34">
        <f t="shared" si="0"/>
        <v>189.9299023048539</v>
      </c>
      <c r="L34">
        <v>32.200000000000067</v>
      </c>
      <c r="M34">
        <v>121.2</v>
      </c>
      <c r="N34">
        <v>133.19999999999999</v>
      </c>
      <c r="O34">
        <v>222.2</v>
      </c>
    </row>
    <row r="35" spans="1:15" x14ac:dyDescent="0.25">
      <c r="A35" s="16">
        <v>34</v>
      </c>
      <c r="B35" s="45">
        <v>35.199999999999861</v>
      </c>
      <c r="C35" s="45">
        <v>124.2</v>
      </c>
      <c r="D35" s="45">
        <v>142.19999999999999</v>
      </c>
      <c r="E35" s="45">
        <v>231.2</v>
      </c>
      <c r="F35" s="62">
        <v>109.07694375857339</v>
      </c>
      <c r="G35" s="62">
        <v>80.852958546280504</v>
      </c>
      <c r="H35" s="18">
        <v>199</v>
      </c>
      <c r="I35" t="s">
        <v>10</v>
      </c>
      <c r="J35">
        <f t="shared" si="0"/>
        <v>189.9299023048539</v>
      </c>
      <c r="L35">
        <v>35.199999999999861</v>
      </c>
      <c r="M35">
        <v>124.2</v>
      </c>
      <c r="N35">
        <v>142.19999999999999</v>
      </c>
      <c r="O35">
        <v>231.2</v>
      </c>
    </row>
    <row r="36" spans="1:15" x14ac:dyDescent="0.25">
      <c r="A36" s="16">
        <v>35</v>
      </c>
      <c r="B36" s="45">
        <v>38.199999999999967</v>
      </c>
      <c r="C36" s="45">
        <v>127.20000000000002</v>
      </c>
      <c r="D36" s="45">
        <v>145.19999999999999</v>
      </c>
      <c r="E36" s="45">
        <v>234.2</v>
      </c>
      <c r="F36" s="62">
        <v>109.07694375857339</v>
      </c>
      <c r="G36" s="62">
        <v>80.852958546280504</v>
      </c>
      <c r="H36" s="18">
        <v>199</v>
      </c>
      <c r="I36" t="s">
        <v>10</v>
      </c>
      <c r="J36">
        <f t="shared" si="0"/>
        <v>189.9299023048539</v>
      </c>
      <c r="L36">
        <v>38.199999999999967</v>
      </c>
      <c r="M36">
        <v>127.20000000000002</v>
      </c>
      <c r="N36">
        <v>145.19999999999999</v>
      </c>
      <c r="O36">
        <v>234.2</v>
      </c>
    </row>
    <row r="37" spans="1:15" x14ac:dyDescent="0.25">
      <c r="A37" s="16">
        <v>36</v>
      </c>
      <c r="B37" s="45">
        <v>41.200000000000067</v>
      </c>
      <c r="C37" s="45">
        <v>130.19999999999999</v>
      </c>
      <c r="D37" s="45">
        <v>148.19999999999999</v>
      </c>
      <c r="E37" s="45">
        <v>237.2</v>
      </c>
      <c r="F37" s="62">
        <v>109.07694375857339</v>
      </c>
      <c r="G37" s="62">
        <v>80.852958546280504</v>
      </c>
      <c r="H37" s="18">
        <v>199</v>
      </c>
      <c r="I37" t="s">
        <v>10</v>
      </c>
      <c r="J37">
        <f t="shared" si="0"/>
        <v>189.9299023048539</v>
      </c>
      <c r="L37">
        <v>41.200000000000067</v>
      </c>
      <c r="M37">
        <v>130.19999999999999</v>
      </c>
      <c r="N37">
        <v>148.19999999999999</v>
      </c>
      <c r="O37">
        <v>237.2</v>
      </c>
    </row>
    <row r="38" spans="1:15" x14ac:dyDescent="0.25">
      <c r="A38" s="16">
        <v>37</v>
      </c>
      <c r="B38" s="45">
        <v>44.200000000000159</v>
      </c>
      <c r="C38" s="45">
        <v>133.19999999999999</v>
      </c>
      <c r="D38" s="45">
        <v>151.19999999999999</v>
      </c>
      <c r="E38" s="45">
        <v>242.2</v>
      </c>
      <c r="F38" s="62">
        <v>109.07694375857339</v>
      </c>
      <c r="G38" s="62">
        <v>80.852958546280504</v>
      </c>
      <c r="H38" s="18">
        <v>199</v>
      </c>
      <c r="I38" t="s">
        <v>10</v>
      </c>
      <c r="J38">
        <f t="shared" si="0"/>
        <v>189.9299023048539</v>
      </c>
      <c r="L38">
        <v>44.200000000000159</v>
      </c>
      <c r="M38">
        <v>133.19999999999999</v>
      </c>
      <c r="N38">
        <v>151.19999999999999</v>
      </c>
      <c r="O38">
        <v>242.2</v>
      </c>
    </row>
    <row r="39" spans="1:15" x14ac:dyDescent="0.25">
      <c r="A39" s="16">
        <v>38</v>
      </c>
      <c r="B39" s="45">
        <v>47.199999999999967</v>
      </c>
      <c r="C39" s="45">
        <v>136.20000000000002</v>
      </c>
      <c r="D39" s="45">
        <v>154.19999999999999</v>
      </c>
      <c r="E39" s="45">
        <v>243.2</v>
      </c>
      <c r="F39" s="62">
        <v>109.07694375857339</v>
      </c>
      <c r="G39" s="62">
        <v>80.852958546280504</v>
      </c>
      <c r="H39" s="18">
        <v>199</v>
      </c>
      <c r="I39" t="s">
        <v>10</v>
      </c>
      <c r="J39">
        <f t="shared" si="0"/>
        <v>189.9299023048539</v>
      </c>
      <c r="L39">
        <v>47.199999999999967</v>
      </c>
      <c r="M39">
        <v>136.20000000000002</v>
      </c>
      <c r="N39">
        <v>154.19999999999999</v>
      </c>
      <c r="O39">
        <v>243.2</v>
      </c>
    </row>
    <row r="40" spans="1:15" x14ac:dyDescent="0.25">
      <c r="A40" s="16">
        <v>39</v>
      </c>
      <c r="B40" s="45">
        <v>50.200000000000067</v>
      </c>
      <c r="C40" s="45">
        <v>139.19999999999999</v>
      </c>
      <c r="D40" s="45">
        <v>0</v>
      </c>
      <c r="E40" s="45">
        <v>0</v>
      </c>
      <c r="F40" s="62">
        <v>109.07694375857339</v>
      </c>
      <c r="G40" s="62">
        <v>0</v>
      </c>
      <c r="H40" s="18">
        <v>199</v>
      </c>
      <c r="I40" t="s">
        <v>10</v>
      </c>
      <c r="J40">
        <f t="shared" si="0"/>
        <v>109.07694375857339</v>
      </c>
      <c r="L40">
        <v>50.200000000000067</v>
      </c>
      <c r="M40">
        <v>139.19999999999999</v>
      </c>
      <c r="N40">
        <v>0</v>
      </c>
      <c r="O40">
        <v>0</v>
      </c>
    </row>
    <row r="41" spans="1:15" x14ac:dyDescent="0.25">
      <c r="A41" s="16">
        <v>40</v>
      </c>
      <c r="B41" s="45">
        <v>53.200000000000159</v>
      </c>
      <c r="C41" s="45">
        <v>142.19999999999999</v>
      </c>
      <c r="D41" s="45">
        <v>0</v>
      </c>
      <c r="E41" s="45">
        <v>0</v>
      </c>
      <c r="F41" s="62">
        <v>109.07694375857339</v>
      </c>
      <c r="G41" s="62">
        <v>0</v>
      </c>
      <c r="H41" s="18">
        <v>199</v>
      </c>
      <c r="I41" t="s">
        <v>10</v>
      </c>
      <c r="J41">
        <f t="shared" si="0"/>
        <v>109.07694375857339</v>
      </c>
      <c r="L41">
        <v>53.200000000000159</v>
      </c>
      <c r="M41">
        <v>142.19999999999999</v>
      </c>
      <c r="N41">
        <v>0</v>
      </c>
      <c r="O41">
        <v>0</v>
      </c>
    </row>
    <row r="42" spans="1:15" x14ac:dyDescent="0.25">
      <c r="A42" s="19">
        <v>41</v>
      </c>
      <c r="B42" s="46">
        <v>0.2</v>
      </c>
      <c r="C42" s="46">
        <v>92.2</v>
      </c>
      <c r="D42" s="46">
        <v>108.2</v>
      </c>
      <c r="E42" s="46">
        <v>200.2</v>
      </c>
      <c r="F42" s="63">
        <v>118.95720713305883</v>
      </c>
      <c r="G42" s="63">
        <v>113.20233608815433</v>
      </c>
      <c r="H42" s="21">
        <v>889</v>
      </c>
      <c r="I42" t="s">
        <v>10</v>
      </c>
      <c r="J42">
        <f t="shared" si="0"/>
        <v>232.15954322121314</v>
      </c>
      <c r="L42">
        <v>0.2</v>
      </c>
      <c r="M42">
        <v>92.2</v>
      </c>
      <c r="N42">
        <v>108.2</v>
      </c>
      <c r="O42">
        <v>200.2</v>
      </c>
    </row>
    <row r="43" spans="1:15" x14ac:dyDescent="0.25">
      <c r="A43" s="19">
        <v>42</v>
      </c>
      <c r="B43" s="46">
        <v>3.2</v>
      </c>
      <c r="C43" s="46">
        <v>95.199999999999974</v>
      </c>
      <c r="D43" s="46">
        <v>111.2</v>
      </c>
      <c r="E43" s="46">
        <v>203.2</v>
      </c>
      <c r="F43" s="63">
        <v>118.95720713305883</v>
      </c>
      <c r="G43" s="63">
        <v>113.20233608815433</v>
      </c>
      <c r="H43" s="21">
        <v>889</v>
      </c>
      <c r="I43" t="s">
        <v>10</v>
      </c>
      <c r="J43">
        <f t="shared" si="0"/>
        <v>232.15954322121314</v>
      </c>
      <c r="L43">
        <v>3.2</v>
      </c>
      <c r="M43">
        <v>95.199999999999974</v>
      </c>
      <c r="N43">
        <v>111.2</v>
      </c>
      <c r="O43">
        <v>203.2</v>
      </c>
    </row>
    <row r="44" spans="1:15" x14ac:dyDescent="0.25">
      <c r="A44" s="19">
        <v>43</v>
      </c>
      <c r="B44" s="46">
        <v>6.2</v>
      </c>
      <c r="C44" s="46">
        <v>98.2</v>
      </c>
      <c r="D44" s="46">
        <v>114.2</v>
      </c>
      <c r="E44" s="46">
        <v>206.19999999999987</v>
      </c>
      <c r="F44" s="63">
        <v>118.95720713305883</v>
      </c>
      <c r="G44" s="63">
        <v>113.20233608815433</v>
      </c>
      <c r="H44" s="21">
        <v>889</v>
      </c>
      <c r="I44" t="s">
        <v>10</v>
      </c>
      <c r="J44">
        <f t="shared" si="0"/>
        <v>232.15954322121314</v>
      </c>
      <c r="L44">
        <v>6.2</v>
      </c>
      <c r="M44">
        <v>98.2</v>
      </c>
      <c r="N44">
        <v>114.2</v>
      </c>
      <c r="O44">
        <v>206.19999999999987</v>
      </c>
    </row>
    <row r="45" spans="1:15" x14ac:dyDescent="0.25">
      <c r="A45" s="19">
        <v>44</v>
      </c>
      <c r="B45" s="46">
        <v>9.1999999999999993</v>
      </c>
      <c r="C45" s="46">
        <v>101.19999999999997</v>
      </c>
      <c r="D45" s="46">
        <v>117.20000000000009</v>
      </c>
      <c r="E45" s="46">
        <v>209.2</v>
      </c>
      <c r="F45" s="63">
        <v>118.95720713305883</v>
      </c>
      <c r="G45" s="63">
        <v>113.20233608815433</v>
      </c>
      <c r="H45" s="21">
        <v>889</v>
      </c>
      <c r="I45" t="s">
        <v>10</v>
      </c>
      <c r="J45">
        <f t="shared" si="0"/>
        <v>232.15954322121314</v>
      </c>
      <c r="L45">
        <v>9.1999999999999993</v>
      </c>
      <c r="M45">
        <v>101.19999999999997</v>
      </c>
      <c r="N45">
        <v>117.20000000000009</v>
      </c>
      <c r="O45">
        <v>209.2</v>
      </c>
    </row>
    <row r="46" spans="1:15" x14ac:dyDescent="0.25">
      <c r="A46" s="19">
        <v>45</v>
      </c>
      <c r="B46" s="46">
        <v>12.2</v>
      </c>
      <c r="C46" s="46">
        <v>104.2</v>
      </c>
      <c r="D46" s="46">
        <v>120.2000000000002</v>
      </c>
      <c r="E46" s="46">
        <v>212.20000000000005</v>
      </c>
      <c r="F46" s="63">
        <v>118.95720713305883</v>
      </c>
      <c r="G46" s="63">
        <v>113.20233608815433</v>
      </c>
      <c r="H46" s="21">
        <v>889</v>
      </c>
      <c r="I46" t="s">
        <v>10</v>
      </c>
      <c r="J46">
        <f t="shared" si="0"/>
        <v>232.15954322121314</v>
      </c>
      <c r="L46">
        <v>12.2</v>
      </c>
      <c r="M46">
        <v>104.2</v>
      </c>
      <c r="N46">
        <v>120.2000000000002</v>
      </c>
      <c r="O46">
        <v>212.20000000000005</v>
      </c>
    </row>
    <row r="47" spans="1:15" x14ac:dyDescent="0.25">
      <c r="A47" s="19">
        <v>46</v>
      </c>
      <c r="B47" s="46">
        <v>15.2</v>
      </c>
      <c r="C47" s="46">
        <v>107.2</v>
      </c>
      <c r="D47" s="46">
        <v>123.2</v>
      </c>
      <c r="E47" s="46">
        <v>215.19999999999987</v>
      </c>
      <c r="F47" s="63">
        <v>118.95720713305883</v>
      </c>
      <c r="G47" s="63">
        <v>113.20233608815433</v>
      </c>
      <c r="H47" s="21">
        <v>889</v>
      </c>
      <c r="I47" t="s">
        <v>10</v>
      </c>
      <c r="J47">
        <f t="shared" si="0"/>
        <v>232.15954322121314</v>
      </c>
      <c r="L47">
        <v>15.2</v>
      </c>
      <c r="M47">
        <v>107.2</v>
      </c>
      <c r="N47">
        <v>123.2</v>
      </c>
      <c r="O47">
        <v>215.19999999999987</v>
      </c>
    </row>
    <row r="48" spans="1:15" x14ac:dyDescent="0.25">
      <c r="A48" s="19">
        <v>47</v>
      </c>
      <c r="B48" s="46">
        <v>18.2</v>
      </c>
      <c r="C48" s="46">
        <v>110.19999999999997</v>
      </c>
      <c r="D48" s="46">
        <v>126.20000000000009</v>
      </c>
      <c r="E48" s="46">
        <v>218.2</v>
      </c>
      <c r="F48" s="63">
        <v>118.95720713305883</v>
      </c>
      <c r="G48" s="63">
        <v>113.20233608815433</v>
      </c>
      <c r="H48" s="21">
        <v>889</v>
      </c>
      <c r="I48" t="s">
        <v>10</v>
      </c>
      <c r="J48">
        <f t="shared" si="0"/>
        <v>232.15954322121314</v>
      </c>
      <c r="L48">
        <v>18.2</v>
      </c>
      <c r="M48">
        <v>110.19999999999997</v>
      </c>
      <c r="N48">
        <v>126.20000000000009</v>
      </c>
      <c r="O48">
        <v>218.2</v>
      </c>
    </row>
    <row r="49" spans="1:15" x14ac:dyDescent="0.25">
      <c r="A49" s="19">
        <v>48</v>
      </c>
      <c r="B49" s="46">
        <v>21.2</v>
      </c>
      <c r="C49" s="46">
        <v>113.2</v>
      </c>
      <c r="D49" s="46">
        <v>129.20000000000022</v>
      </c>
      <c r="E49" s="46">
        <v>221.20000000000005</v>
      </c>
      <c r="F49" s="63">
        <v>118.95720713305883</v>
      </c>
      <c r="G49" s="63">
        <v>113.20233608815433</v>
      </c>
      <c r="H49" s="21">
        <v>889</v>
      </c>
      <c r="I49" t="s">
        <v>10</v>
      </c>
      <c r="J49">
        <f t="shared" si="0"/>
        <v>232.15954322121314</v>
      </c>
      <c r="L49">
        <v>21.2</v>
      </c>
      <c r="M49">
        <v>113.2</v>
      </c>
      <c r="N49">
        <v>129.20000000000022</v>
      </c>
      <c r="O49">
        <v>221.20000000000005</v>
      </c>
    </row>
    <row r="50" spans="1:15" x14ac:dyDescent="0.25">
      <c r="A50" s="19">
        <v>49</v>
      </c>
      <c r="B50" s="46">
        <v>24.2</v>
      </c>
      <c r="C50" s="46">
        <v>116.2</v>
      </c>
      <c r="D50" s="46">
        <v>132.2000000000003</v>
      </c>
      <c r="E50" s="46">
        <v>224.19999999999987</v>
      </c>
      <c r="F50" s="63">
        <v>118.95720713305883</v>
      </c>
      <c r="G50" s="63">
        <v>113.20233608815433</v>
      </c>
      <c r="H50" s="21">
        <v>889</v>
      </c>
      <c r="I50" t="s">
        <v>10</v>
      </c>
      <c r="J50">
        <f t="shared" si="0"/>
        <v>232.15954322121314</v>
      </c>
      <c r="L50">
        <v>24.2</v>
      </c>
      <c r="M50">
        <v>116.2</v>
      </c>
      <c r="N50">
        <v>132.2000000000003</v>
      </c>
      <c r="O50">
        <v>224.19999999999987</v>
      </c>
    </row>
    <row r="51" spans="1:15" x14ac:dyDescent="0.25">
      <c r="A51" s="19">
        <v>50</v>
      </c>
      <c r="B51" s="46">
        <v>27.2</v>
      </c>
      <c r="C51" s="46">
        <v>119.19999999999997</v>
      </c>
      <c r="D51" s="46">
        <v>135.2000000000001</v>
      </c>
      <c r="E51" s="46">
        <v>227.2</v>
      </c>
      <c r="F51" s="63">
        <v>118.95720713305883</v>
      </c>
      <c r="G51" s="63">
        <v>113.20233608815433</v>
      </c>
      <c r="H51" s="21">
        <v>889</v>
      </c>
      <c r="I51" t="s">
        <v>10</v>
      </c>
      <c r="J51">
        <f t="shared" si="0"/>
        <v>232.15954322121314</v>
      </c>
      <c r="L51">
        <v>27.2</v>
      </c>
      <c r="M51">
        <v>119.19999999999997</v>
      </c>
      <c r="N51">
        <v>135.2000000000001</v>
      </c>
      <c r="O51">
        <v>227.2</v>
      </c>
    </row>
    <row r="52" spans="1:15" x14ac:dyDescent="0.25">
      <c r="A52" s="19">
        <v>51</v>
      </c>
      <c r="B52" s="46">
        <v>30.2</v>
      </c>
      <c r="C52" s="46">
        <v>122.2</v>
      </c>
      <c r="D52" s="46">
        <v>138.20000000000022</v>
      </c>
      <c r="E52" s="46">
        <v>230.19999999999976</v>
      </c>
      <c r="F52" s="63">
        <v>118.95720713305883</v>
      </c>
      <c r="G52" s="63">
        <v>113.20233608815433</v>
      </c>
      <c r="H52" s="21">
        <v>889</v>
      </c>
      <c r="I52" t="s">
        <v>10</v>
      </c>
      <c r="J52">
        <f t="shared" si="0"/>
        <v>232.15954322121314</v>
      </c>
      <c r="L52">
        <v>30.2</v>
      </c>
      <c r="M52">
        <v>122.2</v>
      </c>
      <c r="N52">
        <v>138.20000000000022</v>
      </c>
      <c r="O52">
        <v>230.19999999999976</v>
      </c>
    </row>
    <row r="53" spans="1:15" x14ac:dyDescent="0.25">
      <c r="A53" s="19">
        <v>52</v>
      </c>
      <c r="B53" s="46">
        <v>33.200000000000003</v>
      </c>
      <c r="C53" s="46">
        <v>125.2</v>
      </c>
      <c r="D53" s="46">
        <v>141.2000000000003</v>
      </c>
      <c r="E53" s="46">
        <v>233.2</v>
      </c>
      <c r="F53" s="63">
        <v>118.95720713305883</v>
      </c>
      <c r="G53" s="63">
        <v>113.20233608815433</v>
      </c>
      <c r="H53" s="21">
        <v>889</v>
      </c>
      <c r="I53" t="s">
        <v>10</v>
      </c>
      <c r="J53">
        <f t="shared" si="0"/>
        <v>232.15954322121314</v>
      </c>
      <c r="L53">
        <v>33.200000000000003</v>
      </c>
      <c r="M53">
        <v>125.2</v>
      </c>
      <c r="N53">
        <v>141.2000000000003</v>
      </c>
      <c r="O53">
        <v>233.2</v>
      </c>
    </row>
    <row r="54" spans="1:15" x14ac:dyDescent="0.25">
      <c r="A54" s="19">
        <v>53</v>
      </c>
      <c r="B54" s="46">
        <v>36.200000000000003</v>
      </c>
      <c r="C54" s="46">
        <v>128.19999999999999</v>
      </c>
      <c r="D54" s="46">
        <v>144.20000000000036</v>
      </c>
      <c r="E54" s="46">
        <v>236.2</v>
      </c>
      <c r="F54" s="63">
        <v>118.95720713305883</v>
      </c>
      <c r="G54" s="63">
        <v>113.20233608815433</v>
      </c>
      <c r="H54" s="21">
        <v>889</v>
      </c>
      <c r="I54" t="s">
        <v>10</v>
      </c>
      <c r="J54">
        <f t="shared" si="0"/>
        <v>232.15954322121314</v>
      </c>
      <c r="L54">
        <v>36.200000000000003</v>
      </c>
      <c r="M54">
        <v>128.19999999999999</v>
      </c>
      <c r="N54">
        <v>144.20000000000036</v>
      </c>
      <c r="O54">
        <v>236.2</v>
      </c>
    </row>
    <row r="55" spans="1:15" x14ac:dyDescent="0.25">
      <c r="A55" s="19">
        <v>54</v>
      </c>
      <c r="B55" s="46">
        <v>39.200000000000003</v>
      </c>
      <c r="C55" s="46">
        <v>131.19999999999999</v>
      </c>
      <c r="D55" s="46">
        <v>147.20000000000047</v>
      </c>
      <c r="E55" s="46">
        <v>239.2</v>
      </c>
      <c r="F55" s="63">
        <v>118.95720713305883</v>
      </c>
      <c r="G55" s="63">
        <v>113.20233608815433</v>
      </c>
      <c r="H55" s="21">
        <v>889</v>
      </c>
      <c r="I55" t="s">
        <v>10</v>
      </c>
      <c r="J55">
        <f t="shared" si="0"/>
        <v>232.15954322121314</v>
      </c>
      <c r="L55">
        <v>39.200000000000003</v>
      </c>
      <c r="M55">
        <v>131.19999999999999</v>
      </c>
      <c r="N55">
        <v>147.20000000000047</v>
      </c>
      <c r="O55">
        <v>239.2</v>
      </c>
    </row>
    <row r="56" spans="1:15" x14ac:dyDescent="0.25">
      <c r="A56" s="19">
        <v>55</v>
      </c>
      <c r="B56" s="46">
        <v>42.2</v>
      </c>
      <c r="C56" s="46">
        <v>134.19999999999999</v>
      </c>
      <c r="D56" s="46">
        <v>150.2000000000003</v>
      </c>
      <c r="E56" s="46">
        <v>242.2</v>
      </c>
      <c r="F56" s="63">
        <v>118.95720713305883</v>
      </c>
      <c r="G56" s="63">
        <v>113.20233608815433</v>
      </c>
      <c r="H56" s="21">
        <v>889</v>
      </c>
      <c r="I56" t="s">
        <v>10</v>
      </c>
      <c r="J56">
        <f t="shared" si="0"/>
        <v>232.15954322121314</v>
      </c>
      <c r="L56">
        <v>42.2</v>
      </c>
      <c r="M56">
        <v>134.19999999999999</v>
      </c>
      <c r="N56">
        <v>150.2000000000003</v>
      </c>
      <c r="O56">
        <v>242.2</v>
      </c>
    </row>
    <row r="57" spans="1:15" x14ac:dyDescent="0.25">
      <c r="A57" s="22">
        <v>56</v>
      </c>
      <c r="B57" s="47">
        <v>8.1999999999999993</v>
      </c>
      <c r="C57" s="47">
        <v>97.2</v>
      </c>
      <c r="D57" s="47">
        <v>126.2</v>
      </c>
      <c r="E57" s="47">
        <v>215.20000000000005</v>
      </c>
      <c r="F57" s="64">
        <v>105.55293827160511</v>
      </c>
      <c r="G57" s="64">
        <v>81.1295847750864</v>
      </c>
      <c r="H57" s="24" t="s">
        <v>11</v>
      </c>
      <c r="I57" t="s">
        <v>10</v>
      </c>
      <c r="J57">
        <f t="shared" si="0"/>
        <v>186.68252304669153</v>
      </c>
      <c r="L57">
        <v>8.1999999999999993</v>
      </c>
      <c r="M57">
        <v>97.2</v>
      </c>
      <c r="N57">
        <v>126.2</v>
      </c>
      <c r="O57">
        <v>215.20000000000005</v>
      </c>
    </row>
    <row r="58" spans="1:15" x14ac:dyDescent="0.25">
      <c r="A58" s="22">
        <v>57</v>
      </c>
      <c r="B58" s="47">
        <v>24.2</v>
      </c>
      <c r="C58" s="47">
        <v>113.2</v>
      </c>
      <c r="D58" s="47">
        <v>134.19999999999999</v>
      </c>
      <c r="E58" s="47">
        <v>223.2</v>
      </c>
      <c r="F58" s="64">
        <v>105.55293827160511</v>
      </c>
      <c r="G58" s="64">
        <v>81.1295847750864</v>
      </c>
      <c r="H58" s="24" t="s">
        <v>11</v>
      </c>
      <c r="I58" t="s">
        <v>10</v>
      </c>
      <c r="J58">
        <f t="shared" si="0"/>
        <v>186.68252304669153</v>
      </c>
      <c r="L58">
        <v>24.2</v>
      </c>
      <c r="M58">
        <v>113.2</v>
      </c>
      <c r="N58">
        <v>134.19999999999999</v>
      </c>
      <c r="O58">
        <v>223.2</v>
      </c>
    </row>
    <row r="59" spans="1:15" x14ac:dyDescent="0.25">
      <c r="A59" s="22">
        <v>58</v>
      </c>
      <c r="B59" s="47">
        <v>32.200000000000003</v>
      </c>
      <c r="C59" s="47">
        <v>121.2</v>
      </c>
      <c r="D59" s="47">
        <v>142.19999999999999</v>
      </c>
      <c r="E59" s="47">
        <v>231.2</v>
      </c>
      <c r="F59" s="64">
        <v>105.55293827160511</v>
      </c>
      <c r="G59" s="64">
        <v>81.1295847750864</v>
      </c>
      <c r="H59" s="24" t="s">
        <v>11</v>
      </c>
      <c r="I59" t="s">
        <v>10</v>
      </c>
      <c r="J59">
        <f t="shared" si="0"/>
        <v>186.68252304669153</v>
      </c>
      <c r="L59">
        <v>32.200000000000003</v>
      </c>
      <c r="M59">
        <v>121.2</v>
      </c>
      <c r="N59">
        <v>142.19999999999999</v>
      </c>
      <c r="O59">
        <v>231.2</v>
      </c>
    </row>
    <row r="60" spans="1:15" x14ac:dyDescent="0.25">
      <c r="A60" s="22">
        <v>59</v>
      </c>
      <c r="B60" s="47">
        <v>40.199999999999989</v>
      </c>
      <c r="C60" s="47">
        <v>129.19999999999999</v>
      </c>
      <c r="D60" s="47">
        <v>158.19999999999996</v>
      </c>
      <c r="E60" s="47">
        <v>247.2</v>
      </c>
      <c r="F60" s="64">
        <v>105.55293827160511</v>
      </c>
      <c r="G60" s="64">
        <v>81.1295847750864</v>
      </c>
      <c r="H60" s="24" t="s">
        <v>11</v>
      </c>
      <c r="I60" t="s">
        <v>10</v>
      </c>
      <c r="J60">
        <f t="shared" si="0"/>
        <v>186.68252304669153</v>
      </c>
      <c r="L60">
        <v>40.199999999999989</v>
      </c>
      <c r="M60">
        <v>129.19999999999999</v>
      </c>
      <c r="N60">
        <v>158.19999999999996</v>
      </c>
      <c r="O60">
        <v>247.2</v>
      </c>
    </row>
    <row r="61" spans="1:15" x14ac:dyDescent="0.25">
      <c r="A61" s="22">
        <v>60</v>
      </c>
      <c r="B61" s="47">
        <v>56.2</v>
      </c>
      <c r="C61" s="47">
        <v>145.19999999999999</v>
      </c>
      <c r="D61" s="47">
        <v>0</v>
      </c>
      <c r="E61" s="47">
        <v>0</v>
      </c>
      <c r="F61" s="64">
        <v>105.55293827160511</v>
      </c>
      <c r="G61" s="64">
        <v>0</v>
      </c>
      <c r="H61" s="24" t="s">
        <v>11</v>
      </c>
      <c r="I61" t="s">
        <v>10</v>
      </c>
      <c r="J61">
        <f t="shared" si="0"/>
        <v>105.55293827160511</v>
      </c>
      <c r="L61">
        <v>56.2</v>
      </c>
      <c r="M61">
        <v>145.19999999999999</v>
      </c>
      <c r="N61">
        <v>0</v>
      </c>
      <c r="O61">
        <v>0</v>
      </c>
    </row>
    <row r="62" spans="1:15" x14ac:dyDescent="0.25">
      <c r="A62" s="25">
        <v>61</v>
      </c>
      <c r="B62" s="48">
        <v>4.2</v>
      </c>
      <c r="C62" s="48">
        <v>95.199999999999974</v>
      </c>
      <c r="D62" s="48">
        <v>109.19999999999997</v>
      </c>
      <c r="E62" s="48">
        <v>200.2</v>
      </c>
      <c r="F62" s="65">
        <v>119.41947016460924</v>
      </c>
      <c r="G62" s="65">
        <v>118.87291322314047</v>
      </c>
      <c r="H62" s="27" t="s">
        <v>12</v>
      </c>
      <c r="I62" t="s">
        <v>10</v>
      </c>
      <c r="J62">
        <f t="shared" si="0"/>
        <v>238.29238338774971</v>
      </c>
      <c r="L62">
        <v>4.2</v>
      </c>
      <c r="M62">
        <v>95.199999999999974</v>
      </c>
      <c r="N62">
        <v>109.19999999999997</v>
      </c>
      <c r="O62">
        <v>200.2</v>
      </c>
    </row>
    <row r="63" spans="1:15" x14ac:dyDescent="0.25">
      <c r="A63" s="25">
        <v>62</v>
      </c>
      <c r="B63" s="48">
        <v>10.199999999999989</v>
      </c>
      <c r="C63" s="48">
        <v>101.19999999999997</v>
      </c>
      <c r="D63" s="48">
        <v>115.2</v>
      </c>
      <c r="E63" s="48">
        <v>211.19999999999996</v>
      </c>
      <c r="F63" s="65">
        <v>119.41947016460924</v>
      </c>
      <c r="G63" s="65">
        <v>118.87291322314047</v>
      </c>
      <c r="H63" s="27" t="s">
        <v>12</v>
      </c>
      <c r="I63" t="s">
        <v>10</v>
      </c>
      <c r="J63">
        <f t="shared" si="0"/>
        <v>238.29238338774971</v>
      </c>
      <c r="L63">
        <v>10.199999999999989</v>
      </c>
      <c r="M63">
        <v>101.19999999999997</v>
      </c>
      <c r="N63">
        <v>115.2</v>
      </c>
      <c r="O63">
        <v>211.19999999999996</v>
      </c>
    </row>
    <row r="64" spans="1:15" x14ac:dyDescent="0.25">
      <c r="A64" s="25">
        <v>63</v>
      </c>
      <c r="B64" s="48">
        <v>16.2</v>
      </c>
      <c r="C64" s="48">
        <v>107.2</v>
      </c>
      <c r="D64" s="48">
        <v>121.19999999999997</v>
      </c>
      <c r="E64" s="48">
        <v>212.2</v>
      </c>
      <c r="F64" s="65">
        <v>119.41947016460924</v>
      </c>
      <c r="G64" s="65">
        <v>118.87291322314047</v>
      </c>
      <c r="H64" s="27" t="s">
        <v>12</v>
      </c>
      <c r="I64" t="s">
        <v>10</v>
      </c>
      <c r="J64">
        <f t="shared" si="0"/>
        <v>238.29238338774971</v>
      </c>
      <c r="L64">
        <v>16.2</v>
      </c>
      <c r="M64">
        <v>107.2</v>
      </c>
      <c r="N64">
        <v>121.19999999999997</v>
      </c>
      <c r="O64">
        <v>212.2</v>
      </c>
    </row>
    <row r="65" spans="1:15" x14ac:dyDescent="0.25">
      <c r="A65" s="25">
        <v>64</v>
      </c>
      <c r="B65" s="48">
        <v>22.2</v>
      </c>
      <c r="C65" s="48">
        <v>113.2</v>
      </c>
      <c r="D65" s="48">
        <v>127.19999999999997</v>
      </c>
      <c r="E65" s="48">
        <v>218.2</v>
      </c>
      <c r="F65" s="65">
        <v>119.41947016460924</v>
      </c>
      <c r="G65" s="65">
        <v>118.87291322314047</v>
      </c>
      <c r="H65" s="27" t="s">
        <v>12</v>
      </c>
      <c r="I65" t="s">
        <v>10</v>
      </c>
      <c r="J65">
        <f t="shared" si="0"/>
        <v>238.29238338774971</v>
      </c>
      <c r="L65">
        <v>22.2</v>
      </c>
      <c r="M65">
        <v>113.2</v>
      </c>
      <c r="N65">
        <v>127.19999999999997</v>
      </c>
      <c r="O65">
        <v>218.2</v>
      </c>
    </row>
    <row r="66" spans="1:15" x14ac:dyDescent="0.25">
      <c r="A66" s="25">
        <v>65</v>
      </c>
      <c r="B66" s="48">
        <v>28.2</v>
      </c>
      <c r="C66" s="48">
        <v>119.19999999999997</v>
      </c>
      <c r="D66" s="48">
        <v>133.19999999999999</v>
      </c>
      <c r="E66" s="48">
        <v>224.20000000000005</v>
      </c>
      <c r="F66" s="65">
        <v>119.41947016460924</v>
      </c>
      <c r="G66" s="65">
        <v>118.87291322314047</v>
      </c>
      <c r="H66" s="27" t="s">
        <v>12</v>
      </c>
      <c r="I66" t="s">
        <v>10</v>
      </c>
      <c r="J66">
        <f t="shared" si="0"/>
        <v>238.29238338774971</v>
      </c>
      <c r="L66">
        <v>28.2</v>
      </c>
      <c r="M66">
        <v>119.19999999999997</v>
      </c>
      <c r="N66">
        <v>133.19999999999999</v>
      </c>
      <c r="O66">
        <v>224.20000000000005</v>
      </c>
    </row>
    <row r="67" spans="1:15" x14ac:dyDescent="0.25">
      <c r="A67" s="25">
        <v>66</v>
      </c>
      <c r="B67" s="48">
        <v>34.200000000000003</v>
      </c>
      <c r="C67" s="48">
        <v>125.2</v>
      </c>
      <c r="D67" s="48">
        <v>139.19999999999999</v>
      </c>
      <c r="E67" s="48">
        <v>230.2</v>
      </c>
      <c r="F67" s="65">
        <v>119.41947016460924</v>
      </c>
      <c r="G67" s="65">
        <v>118.87291322314047</v>
      </c>
      <c r="H67" s="27" t="s">
        <v>12</v>
      </c>
      <c r="I67" t="s">
        <v>10</v>
      </c>
      <c r="J67">
        <f t="shared" ref="J67:J102" si="1">SUM(F67:G67)</f>
        <v>238.29238338774971</v>
      </c>
      <c r="L67">
        <v>34.200000000000003</v>
      </c>
      <c r="M67">
        <v>125.2</v>
      </c>
      <c r="N67">
        <v>139.19999999999999</v>
      </c>
      <c r="O67">
        <v>230.2</v>
      </c>
    </row>
    <row r="68" spans="1:15" x14ac:dyDescent="0.25">
      <c r="A68" s="25">
        <v>67</v>
      </c>
      <c r="B68" s="48">
        <v>40.199999999999989</v>
      </c>
      <c r="C68" s="48">
        <v>131.19999999999999</v>
      </c>
      <c r="D68" s="48">
        <v>145.19999999999999</v>
      </c>
      <c r="E68" s="48">
        <v>236.2</v>
      </c>
      <c r="F68" s="65">
        <v>119.41947016460924</v>
      </c>
      <c r="G68" s="65">
        <v>118.87291322314047</v>
      </c>
      <c r="H68" s="27" t="s">
        <v>12</v>
      </c>
      <c r="I68" t="s">
        <v>10</v>
      </c>
      <c r="J68">
        <f t="shared" si="1"/>
        <v>238.29238338774971</v>
      </c>
      <c r="L68">
        <v>40.199999999999989</v>
      </c>
      <c r="M68">
        <v>131.19999999999999</v>
      </c>
      <c r="N68">
        <v>145.19999999999999</v>
      </c>
      <c r="O68">
        <v>236.2</v>
      </c>
    </row>
    <row r="69" spans="1:15" x14ac:dyDescent="0.25">
      <c r="A69" s="25">
        <v>68</v>
      </c>
      <c r="B69" s="48">
        <v>46.2</v>
      </c>
      <c r="C69" s="48">
        <v>137.19999999999999</v>
      </c>
      <c r="D69" s="48">
        <v>151.19999999999999</v>
      </c>
      <c r="E69" s="48">
        <v>242.2</v>
      </c>
      <c r="F69" s="65">
        <v>119.41947016460924</v>
      </c>
      <c r="G69" s="65">
        <v>118.87291322314047</v>
      </c>
      <c r="H69" s="27" t="s">
        <v>12</v>
      </c>
      <c r="I69" t="s">
        <v>10</v>
      </c>
      <c r="J69">
        <f t="shared" si="1"/>
        <v>238.29238338774971</v>
      </c>
      <c r="L69">
        <v>46.2</v>
      </c>
      <c r="M69">
        <v>137.19999999999999</v>
      </c>
      <c r="N69">
        <v>151.19999999999999</v>
      </c>
      <c r="O69">
        <v>242.2</v>
      </c>
    </row>
    <row r="70" spans="1:15" x14ac:dyDescent="0.25">
      <c r="A70" s="7">
        <v>69</v>
      </c>
      <c r="B70" s="49">
        <v>10.199999999999999</v>
      </c>
      <c r="C70" s="49">
        <v>99.2</v>
      </c>
      <c r="D70" s="49">
        <v>114.19999999999997</v>
      </c>
      <c r="E70" s="49">
        <v>203.2</v>
      </c>
      <c r="F70" s="66">
        <v>110.20985233599583</v>
      </c>
      <c r="G70" s="66">
        <v>108.70678658240134</v>
      </c>
      <c r="H70" s="9" t="s">
        <v>13</v>
      </c>
      <c r="I70" t="s">
        <v>10</v>
      </c>
      <c r="J70">
        <f t="shared" si="1"/>
        <v>218.91663891839715</v>
      </c>
      <c r="L70">
        <v>10.199999999999999</v>
      </c>
      <c r="M70">
        <v>99.2</v>
      </c>
      <c r="N70">
        <v>114.19999999999997</v>
      </c>
      <c r="O70">
        <v>203.2</v>
      </c>
    </row>
    <row r="71" spans="1:15" x14ac:dyDescent="0.25">
      <c r="A71" s="7">
        <v>70</v>
      </c>
      <c r="B71" s="49">
        <v>15.200000000000012</v>
      </c>
      <c r="C71" s="49">
        <v>104.2</v>
      </c>
      <c r="D71" s="49">
        <v>118.19999999999997</v>
      </c>
      <c r="E71" s="49">
        <v>207.2</v>
      </c>
      <c r="F71" s="66">
        <v>110.20985233599583</v>
      </c>
      <c r="G71" s="66">
        <v>108.70678658240134</v>
      </c>
      <c r="H71" s="9" t="s">
        <v>13</v>
      </c>
      <c r="I71" t="s">
        <v>10</v>
      </c>
      <c r="J71">
        <f t="shared" si="1"/>
        <v>218.91663891839715</v>
      </c>
      <c r="L71">
        <v>15.200000000000012</v>
      </c>
      <c r="M71">
        <v>104.2</v>
      </c>
      <c r="N71">
        <v>118.19999999999997</v>
      </c>
      <c r="O71">
        <v>207.2</v>
      </c>
    </row>
    <row r="72" spans="1:15" x14ac:dyDescent="0.25">
      <c r="A72" s="7">
        <v>71</v>
      </c>
      <c r="B72" s="49">
        <v>17.2</v>
      </c>
      <c r="C72" s="49">
        <v>106.2</v>
      </c>
      <c r="D72" s="49">
        <v>120.19999999999997</v>
      </c>
      <c r="E72" s="49">
        <v>209.2</v>
      </c>
      <c r="F72" s="66">
        <v>110.20985233599583</v>
      </c>
      <c r="G72" s="66">
        <v>108.70678658240134</v>
      </c>
      <c r="H72" s="9" t="s">
        <v>13</v>
      </c>
      <c r="I72" t="s">
        <v>10</v>
      </c>
      <c r="J72">
        <f t="shared" si="1"/>
        <v>218.91663891839715</v>
      </c>
      <c r="L72">
        <v>17.2</v>
      </c>
      <c r="M72">
        <v>106.2</v>
      </c>
      <c r="N72">
        <v>120.19999999999997</v>
      </c>
      <c r="O72">
        <v>209.2</v>
      </c>
    </row>
    <row r="73" spans="1:15" x14ac:dyDescent="0.25">
      <c r="A73" s="7">
        <v>72</v>
      </c>
      <c r="B73" s="49">
        <v>20.2</v>
      </c>
      <c r="C73" s="49">
        <v>109.19999999999997</v>
      </c>
      <c r="D73" s="49">
        <v>123.19999999999997</v>
      </c>
      <c r="E73" s="49">
        <v>213.2</v>
      </c>
      <c r="F73" s="66">
        <v>110.20985233599583</v>
      </c>
      <c r="G73" s="66">
        <v>108.70678658240134</v>
      </c>
      <c r="H73" s="9" t="s">
        <v>13</v>
      </c>
      <c r="I73" t="s">
        <v>10</v>
      </c>
      <c r="J73">
        <f t="shared" si="1"/>
        <v>218.91663891839715</v>
      </c>
      <c r="L73">
        <v>20.2</v>
      </c>
      <c r="M73">
        <v>109.19999999999997</v>
      </c>
      <c r="N73">
        <v>123.19999999999997</v>
      </c>
      <c r="O73">
        <v>213.2</v>
      </c>
    </row>
    <row r="74" spans="1:15" x14ac:dyDescent="0.25">
      <c r="A74" s="7">
        <v>73</v>
      </c>
      <c r="B74" s="49">
        <v>22.2</v>
      </c>
      <c r="C74" s="49">
        <v>111.19999999999997</v>
      </c>
      <c r="D74" s="49">
        <v>125.2</v>
      </c>
      <c r="E74" s="49">
        <v>214.2</v>
      </c>
      <c r="F74" s="66">
        <v>110.20985233599583</v>
      </c>
      <c r="G74" s="66">
        <v>108.70678658240134</v>
      </c>
      <c r="H74" s="9" t="s">
        <v>13</v>
      </c>
      <c r="I74" t="s">
        <v>10</v>
      </c>
      <c r="J74">
        <f t="shared" si="1"/>
        <v>218.91663891839715</v>
      </c>
      <c r="L74">
        <v>22.2</v>
      </c>
      <c r="M74">
        <v>111.19999999999997</v>
      </c>
      <c r="N74">
        <v>125.2</v>
      </c>
      <c r="O74">
        <v>214.2</v>
      </c>
    </row>
    <row r="75" spans="1:15" x14ac:dyDescent="0.25">
      <c r="A75" s="7">
        <v>74</v>
      </c>
      <c r="B75" s="49">
        <v>25.2</v>
      </c>
      <c r="C75" s="49">
        <v>114.2</v>
      </c>
      <c r="D75" s="49">
        <v>128.19999999999999</v>
      </c>
      <c r="E75" s="49">
        <v>217.2</v>
      </c>
      <c r="F75" s="66">
        <v>110.20985233599583</v>
      </c>
      <c r="G75" s="66">
        <v>108.70678658240134</v>
      </c>
      <c r="H75" s="9" t="s">
        <v>13</v>
      </c>
      <c r="I75" t="s">
        <v>10</v>
      </c>
      <c r="J75">
        <f t="shared" si="1"/>
        <v>218.91663891839715</v>
      </c>
      <c r="L75">
        <v>25.2</v>
      </c>
      <c r="M75">
        <v>114.2</v>
      </c>
      <c r="N75">
        <v>128.19999999999999</v>
      </c>
      <c r="O75">
        <v>217.2</v>
      </c>
    </row>
    <row r="76" spans="1:15" x14ac:dyDescent="0.25">
      <c r="A76" s="7">
        <v>75</v>
      </c>
      <c r="B76" s="49">
        <v>27.2</v>
      </c>
      <c r="C76" s="49">
        <v>116.2</v>
      </c>
      <c r="D76" s="49">
        <v>130.19999999999999</v>
      </c>
      <c r="E76" s="49">
        <v>219.2</v>
      </c>
      <c r="F76" s="66">
        <v>110.20985233599583</v>
      </c>
      <c r="G76" s="66">
        <v>108.70678658240134</v>
      </c>
      <c r="H76" s="9" t="s">
        <v>13</v>
      </c>
      <c r="I76" t="s">
        <v>10</v>
      </c>
      <c r="J76">
        <f t="shared" si="1"/>
        <v>218.91663891839715</v>
      </c>
      <c r="L76">
        <v>27.2</v>
      </c>
      <c r="M76">
        <v>116.2</v>
      </c>
      <c r="N76">
        <v>130.19999999999999</v>
      </c>
      <c r="O76">
        <v>219.2</v>
      </c>
    </row>
    <row r="77" spans="1:15" x14ac:dyDescent="0.25">
      <c r="A77" s="7">
        <v>76</v>
      </c>
      <c r="B77" s="49">
        <v>30.20000000000001</v>
      </c>
      <c r="C77" s="49">
        <v>119.20000000000002</v>
      </c>
      <c r="D77" s="49">
        <v>133.19999999999999</v>
      </c>
      <c r="E77" s="49">
        <v>222.2</v>
      </c>
      <c r="F77" s="66">
        <v>110.20985233599583</v>
      </c>
      <c r="G77" s="66">
        <v>108.70678658240134</v>
      </c>
      <c r="H77" s="9" t="s">
        <v>13</v>
      </c>
      <c r="I77" t="s">
        <v>10</v>
      </c>
      <c r="J77">
        <f t="shared" si="1"/>
        <v>218.91663891839715</v>
      </c>
      <c r="L77">
        <v>30.20000000000001</v>
      </c>
      <c r="M77">
        <v>119.20000000000002</v>
      </c>
      <c r="N77">
        <v>133.19999999999999</v>
      </c>
      <c r="O77">
        <v>222.2</v>
      </c>
    </row>
    <row r="78" spans="1:15" x14ac:dyDescent="0.25">
      <c r="A78" s="7">
        <v>77</v>
      </c>
      <c r="B78" s="49">
        <v>32.200000000000003</v>
      </c>
      <c r="C78" s="49">
        <v>121.2</v>
      </c>
      <c r="D78" s="49">
        <v>135.19999999999999</v>
      </c>
      <c r="E78" s="49">
        <v>224.20000000000005</v>
      </c>
      <c r="F78" s="66">
        <v>110.20985233599583</v>
      </c>
      <c r="G78" s="66">
        <v>108.70678658240134</v>
      </c>
      <c r="H78" s="9" t="s">
        <v>13</v>
      </c>
      <c r="I78" t="s">
        <v>10</v>
      </c>
      <c r="J78">
        <f t="shared" si="1"/>
        <v>218.91663891839715</v>
      </c>
      <c r="L78">
        <v>32.200000000000003</v>
      </c>
      <c r="M78">
        <v>121.2</v>
      </c>
      <c r="N78">
        <v>135.19999999999999</v>
      </c>
      <c r="O78">
        <v>224.20000000000005</v>
      </c>
    </row>
    <row r="79" spans="1:15" x14ac:dyDescent="0.25">
      <c r="A79" s="7">
        <v>78</v>
      </c>
      <c r="B79" s="49">
        <v>35.199999999999989</v>
      </c>
      <c r="C79" s="49">
        <v>124.19999999999997</v>
      </c>
      <c r="D79" s="49">
        <v>138.19999999999999</v>
      </c>
      <c r="E79" s="49">
        <v>227.2</v>
      </c>
      <c r="F79" s="66">
        <v>110.20985233599583</v>
      </c>
      <c r="G79" s="66">
        <v>108.70678658240134</v>
      </c>
      <c r="H79" s="9" t="s">
        <v>13</v>
      </c>
      <c r="I79" t="s">
        <v>10</v>
      </c>
      <c r="J79">
        <f t="shared" si="1"/>
        <v>218.91663891839715</v>
      </c>
      <c r="L79">
        <v>35.199999999999989</v>
      </c>
      <c r="M79">
        <v>124.19999999999997</v>
      </c>
      <c r="N79">
        <v>138.19999999999999</v>
      </c>
      <c r="O79">
        <v>227.2</v>
      </c>
    </row>
    <row r="80" spans="1:15" x14ac:dyDescent="0.25">
      <c r="A80" s="7">
        <v>79</v>
      </c>
      <c r="B80" s="49">
        <v>37.200000000000003</v>
      </c>
      <c r="C80" s="49">
        <v>126.2</v>
      </c>
      <c r="D80" s="49">
        <v>140.19999999999999</v>
      </c>
      <c r="E80" s="49">
        <v>229.19999999999996</v>
      </c>
      <c r="F80" s="66">
        <v>110.20985233599583</v>
      </c>
      <c r="G80" s="66">
        <v>108.70678658240134</v>
      </c>
      <c r="H80" s="9" t="s">
        <v>13</v>
      </c>
      <c r="I80" t="s">
        <v>10</v>
      </c>
      <c r="J80">
        <f t="shared" si="1"/>
        <v>218.91663891839715</v>
      </c>
      <c r="L80">
        <v>37.200000000000003</v>
      </c>
      <c r="M80">
        <v>126.2</v>
      </c>
      <c r="N80">
        <v>140.19999999999999</v>
      </c>
      <c r="O80">
        <v>229.19999999999996</v>
      </c>
    </row>
    <row r="81" spans="1:15" x14ac:dyDescent="0.25">
      <c r="A81" s="7">
        <v>80</v>
      </c>
      <c r="B81" s="49">
        <v>40.20000000000001</v>
      </c>
      <c r="C81" s="49">
        <v>129.19999999999999</v>
      </c>
      <c r="D81" s="49">
        <v>143.19999999999999</v>
      </c>
      <c r="E81" s="49">
        <v>232.2</v>
      </c>
      <c r="F81" s="66">
        <v>110.20985233599583</v>
      </c>
      <c r="G81" s="66">
        <v>108.70678658240134</v>
      </c>
      <c r="H81" s="9" t="s">
        <v>13</v>
      </c>
      <c r="I81" t="s">
        <v>10</v>
      </c>
      <c r="J81">
        <f t="shared" si="1"/>
        <v>218.91663891839715</v>
      </c>
      <c r="L81">
        <v>40.20000000000001</v>
      </c>
      <c r="M81">
        <v>129.19999999999999</v>
      </c>
      <c r="N81">
        <v>143.19999999999999</v>
      </c>
      <c r="O81">
        <v>232.2</v>
      </c>
    </row>
    <row r="82" spans="1:15" x14ac:dyDescent="0.25">
      <c r="A82" s="7">
        <v>81</v>
      </c>
      <c r="B82" s="49">
        <v>42.2</v>
      </c>
      <c r="C82" s="49">
        <v>130.19999999999999</v>
      </c>
      <c r="D82" s="49">
        <v>145.19999999999999</v>
      </c>
      <c r="E82" s="49">
        <v>234.2</v>
      </c>
      <c r="F82" s="66">
        <v>110.20985233599583</v>
      </c>
      <c r="G82" s="66">
        <v>108.70678658240134</v>
      </c>
      <c r="H82" s="9" t="s">
        <v>13</v>
      </c>
      <c r="I82" t="s">
        <v>10</v>
      </c>
      <c r="J82">
        <f t="shared" si="1"/>
        <v>218.91663891839715</v>
      </c>
      <c r="L82">
        <v>42.2</v>
      </c>
      <c r="M82">
        <v>130.19999999999999</v>
      </c>
      <c r="N82">
        <v>145.19999999999999</v>
      </c>
      <c r="O82">
        <v>234.2</v>
      </c>
    </row>
    <row r="83" spans="1:15" x14ac:dyDescent="0.25">
      <c r="A83" s="7">
        <v>82</v>
      </c>
      <c r="B83" s="49">
        <v>45.2</v>
      </c>
      <c r="C83" s="49">
        <v>134.19999999999999</v>
      </c>
      <c r="D83" s="49">
        <v>148.19999999999999</v>
      </c>
      <c r="E83" s="49">
        <v>237.2</v>
      </c>
      <c r="F83" s="66">
        <v>110.20985233599583</v>
      </c>
      <c r="G83" s="66">
        <v>108.70678658240134</v>
      </c>
      <c r="H83" s="9" t="s">
        <v>13</v>
      </c>
      <c r="I83" t="s">
        <v>10</v>
      </c>
      <c r="J83">
        <f t="shared" si="1"/>
        <v>218.91663891839715</v>
      </c>
      <c r="L83">
        <v>45.2</v>
      </c>
      <c r="M83">
        <v>134.19999999999999</v>
      </c>
      <c r="N83">
        <v>148.19999999999999</v>
      </c>
      <c r="O83">
        <v>237.2</v>
      </c>
    </row>
    <row r="84" spans="1:15" x14ac:dyDescent="0.25">
      <c r="A84" s="7">
        <v>83</v>
      </c>
      <c r="B84" s="49">
        <v>47.2</v>
      </c>
      <c r="C84" s="49">
        <v>136.19999999999999</v>
      </c>
      <c r="D84" s="49">
        <v>151.19999999999999</v>
      </c>
      <c r="E84" s="49">
        <v>240.2</v>
      </c>
      <c r="F84" s="66">
        <v>110.20985233599583</v>
      </c>
      <c r="G84" s="66">
        <v>108.70678658240134</v>
      </c>
      <c r="H84" s="9" t="s">
        <v>13</v>
      </c>
      <c r="I84" t="s">
        <v>10</v>
      </c>
      <c r="J84">
        <f t="shared" si="1"/>
        <v>218.91663891839715</v>
      </c>
      <c r="L84">
        <v>47.2</v>
      </c>
      <c r="M84">
        <v>136.19999999999999</v>
      </c>
      <c r="N84">
        <v>151.19999999999999</v>
      </c>
      <c r="O84">
        <v>240.2</v>
      </c>
    </row>
    <row r="85" spans="1:15" x14ac:dyDescent="0.25">
      <c r="A85" s="7">
        <v>84</v>
      </c>
      <c r="B85" s="49">
        <v>50.2</v>
      </c>
      <c r="C85" s="49">
        <v>139.19999999999999</v>
      </c>
      <c r="D85" s="49">
        <v>153.19999999999999</v>
      </c>
      <c r="E85" s="49">
        <v>242.2</v>
      </c>
      <c r="F85" s="66">
        <v>110.20985233599583</v>
      </c>
      <c r="G85" s="66">
        <v>108.70678658240134</v>
      </c>
      <c r="H85" s="9" t="s">
        <v>13</v>
      </c>
      <c r="I85" t="s">
        <v>10</v>
      </c>
      <c r="J85">
        <f t="shared" si="1"/>
        <v>218.91663891839715</v>
      </c>
      <c r="L85">
        <v>50.2</v>
      </c>
      <c r="M85">
        <v>139.19999999999999</v>
      </c>
      <c r="N85">
        <v>153.19999999999999</v>
      </c>
      <c r="O85">
        <v>242.2</v>
      </c>
    </row>
    <row r="86" spans="1:15" x14ac:dyDescent="0.25">
      <c r="A86" s="7">
        <v>85</v>
      </c>
      <c r="B86" s="49">
        <v>55.2</v>
      </c>
      <c r="C86" s="49">
        <v>144.19999999999999</v>
      </c>
      <c r="D86" s="49">
        <v>156.19999999999999</v>
      </c>
      <c r="E86" s="49">
        <v>245.2</v>
      </c>
      <c r="F86" s="66">
        <v>110.20985233599583</v>
      </c>
      <c r="G86" s="66">
        <v>108.70678658240134</v>
      </c>
      <c r="H86" s="9" t="s">
        <v>13</v>
      </c>
      <c r="I86" t="s">
        <v>10</v>
      </c>
      <c r="J86">
        <f t="shared" si="1"/>
        <v>218.91663891839715</v>
      </c>
      <c r="L86">
        <v>55.2</v>
      </c>
      <c r="M86">
        <v>144.19999999999999</v>
      </c>
      <c r="N86">
        <v>156.19999999999999</v>
      </c>
      <c r="O86">
        <v>245.2</v>
      </c>
    </row>
    <row r="87" spans="1:15" x14ac:dyDescent="0.25">
      <c r="A87" s="28">
        <v>86</v>
      </c>
      <c r="B87" s="50">
        <v>8.1999999999999993</v>
      </c>
      <c r="C87" s="50">
        <v>97.2</v>
      </c>
      <c r="D87" s="50">
        <v>110.19999999999997</v>
      </c>
      <c r="E87" s="50">
        <v>199.2</v>
      </c>
      <c r="F87" s="67">
        <v>103.88497942386834</v>
      </c>
      <c r="G87" s="67">
        <v>97.981818181818156</v>
      </c>
      <c r="H87" s="30" t="s">
        <v>14</v>
      </c>
      <c r="I87" t="s">
        <v>10</v>
      </c>
      <c r="J87">
        <f t="shared" si="1"/>
        <v>201.86679760568649</v>
      </c>
      <c r="L87">
        <v>8.1999999999999993</v>
      </c>
      <c r="M87">
        <v>97.2</v>
      </c>
      <c r="N87">
        <v>110.19999999999997</v>
      </c>
      <c r="O87">
        <v>199.2</v>
      </c>
    </row>
    <row r="88" spans="1:15" x14ac:dyDescent="0.25">
      <c r="A88" s="28">
        <v>87</v>
      </c>
      <c r="B88" s="50">
        <v>24.2</v>
      </c>
      <c r="C88" s="50">
        <v>113.2</v>
      </c>
      <c r="D88" s="50">
        <v>126.2</v>
      </c>
      <c r="E88" s="50">
        <v>215.20000000000005</v>
      </c>
      <c r="F88" s="67">
        <v>103.88497942386834</v>
      </c>
      <c r="G88" s="67">
        <v>97.981818181818156</v>
      </c>
      <c r="H88" s="30" t="s">
        <v>14</v>
      </c>
      <c r="I88" t="s">
        <v>10</v>
      </c>
      <c r="J88">
        <f t="shared" si="1"/>
        <v>201.86679760568649</v>
      </c>
      <c r="L88">
        <v>24.2</v>
      </c>
      <c r="M88">
        <v>113.2</v>
      </c>
      <c r="N88">
        <v>126.2</v>
      </c>
      <c r="O88">
        <v>215.20000000000005</v>
      </c>
    </row>
    <row r="89" spans="1:15" x14ac:dyDescent="0.25">
      <c r="A89" s="28">
        <v>88</v>
      </c>
      <c r="B89" s="50">
        <v>32.200000000000003</v>
      </c>
      <c r="C89" s="50">
        <v>121.2</v>
      </c>
      <c r="D89" s="50">
        <v>134.19999999999999</v>
      </c>
      <c r="E89" s="50">
        <v>223.2</v>
      </c>
      <c r="F89" s="67">
        <v>103.88497942386834</v>
      </c>
      <c r="G89" s="67">
        <v>97.981818181818156</v>
      </c>
      <c r="H89" s="30" t="s">
        <v>14</v>
      </c>
      <c r="I89" t="s">
        <v>10</v>
      </c>
      <c r="J89">
        <f t="shared" si="1"/>
        <v>201.86679760568649</v>
      </c>
      <c r="L89">
        <v>32.200000000000003</v>
      </c>
      <c r="M89">
        <v>121.2</v>
      </c>
      <c r="N89">
        <v>134.19999999999999</v>
      </c>
      <c r="O89">
        <v>223.2</v>
      </c>
    </row>
    <row r="90" spans="1:15" x14ac:dyDescent="0.25">
      <c r="A90" s="28">
        <v>89</v>
      </c>
      <c r="B90" s="50">
        <v>40.20000000000001</v>
      </c>
      <c r="C90" s="50">
        <v>129.19999999999999</v>
      </c>
      <c r="D90" s="50">
        <v>142.19999999999999</v>
      </c>
      <c r="E90" s="50">
        <v>231.2</v>
      </c>
      <c r="F90" s="67">
        <v>103.88497942386834</v>
      </c>
      <c r="G90" s="67">
        <v>97.981818181818156</v>
      </c>
      <c r="H90" s="30" t="s">
        <v>14</v>
      </c>
      <c r="I90" t="s">
        <v>10</v>
      </c>
      <c r="J90">
        <f t="shared" si="1"/>
        <v>201.86679760568649</v>
      </c>
      <c r="L90">
        <v>40.20000000000001</v>
      </c>
      <c r="M90">
        <v>129.19999999999999</v>
      </c>
      <c r="N90">
        <v>142.19999999999999</v>
      </c>
      <c r="O90">
        <v>231.2</v>
      </c>
    </row>
    <row r="91" spans="1:15" x14ac:dyDescent="0.25">
      <c r="A91" s="28">
        <v>90</v>
      </c>
      <c r="B91" s="50">
        <v>56.200000000000024</v>
      </c>
      <c r="C91" s="50">
        <v>145.20000000000002</v>
      </c>
      <c r="D91" s="50">
        <v>158.19999999999996</v>
      </c>
      <c r="E91" s="50">
        <v>247.2</v>
      </c>
      <c r="F91" s="67">
        <v>103.88497942386834</v>
      </c>
      <c r="G91" s="67">
        <v>97.981818181818156</v>
      </c>
      <c r="H91" s="30" t="s">
        <v>14</v>
      </c>
      <c r="I91" t="s">
        <v>10</v>
      </c>
      <c r="J91">
        <f t="shared" si="1"/>
        <v>201.86679760568649</v>
      </c>
      <c r="L91">
        <v>56.200000000000024</v>
      </c>
      <c r="M91">
        <v>145.20000000000002</v>
      </c>
      <c r="N91">
        <v>158.19999999999996</v>
      </c>
      <c r="O91">
        <v>247.2</v>
      </c>
    </row>
    <row r="92" spans="1:15" x14ac:dyDescent="0.25">
      <c r="A92" s="31">
        <v>91</v>
      </c>
      <c r="B92" s="51">
        <v>16.2</v>
      </c>
      <c r="C92" s="51">
        <v>109.20000000000002</v>
      </c>
      <c r="D92" s="51">
        <v>123.19999999999997</v>
      </c>
      <c r="E92" s="51">
        <v>216.2</v>
      </c>
      <c r="F92" s="68">
        <v>114.25521810699603</v>
      </c>
      <c r="G92" s="68">
        <v>104.90652892561992</v>
      </c>
      <c r="H92" s="33" t="s">
        <v>15</v>
      </c>
      <c r="I92" t="s">
        <v>10</v>
      </c>
      <c r="J92">
        <f t="shared" si="1"/>
        <v>219.16174703261595</v>
      </c>
      <c r="L92">
        <v>16.2</v>
      </c>
      <c r="M92">
        <v>109.20000000000002</v>
      </c>
      <c r="N92">
        <v>123.19999999999997</v>
      </c>
      <c r="O92">
        <v>216.2</v>
      </c>
    </row>
    <row r="93" spans="1:15" x14ac:dyDescent="0.25">
      <c r="A93" s="31">
        <v>92</v>
      </c>
      <c r="B93" s="51">
        <v>22.2</v>
      </c>
      <c r="C93" s="51">
        <v>114.2</v>
      </c>
      <c r="D93" s="51">
        <v>128.19999999999999</v>
      </c>
      <c r="E93" s="51">
        <v>221.2</v>
      </c>
      <c r="F93" s="68">
        <v>114.25521810699603</v>
      </c>
      <c r="G93" s="68">
        <v>104.90652892561992</v>
      </c>
      <c r="H93" s="33" t="s">
        <v>15</v>
      </c>
      <c r="I93" t="s">
        <v>10</v>
      </c>
      <c r="J93">
        <f t="shared" si="1"/>
        <v>219.16174703261595</v>
      </c>
      <c r="L93">
        <v>22.2</v>
      </c>
      <c r="M93">
        <v>114.2</v>
      </c>
      <c r="N93">
        <v>128.19999999999999</v>
      </c>
      <c r="O93">
        <v>221.2</v>
      </c>
    </row>
    <row r="94" spans="1:15" x14ac:dyDescent="0.25">
      <c r="A94" s="31">
        <v>93</v>
      </c>
      <c r="B94" s="51">
        <v>28.2</v>
      </c>
      <c r="C94" s="51">
        <v>121.2</v>
      </c>
      <c r="D94" s="51">
        <v>135.19999999999999</v>
      </c>
      <c r="E94" s="51">
        <v>228.2</v>
      </c>
      <c r="F94" s="68">
        <v>114.25521810699603</v>
      </c>
      <c r="G94" s="68">
        <v>104.90652892561992</v>
      </c>
      <c r="H94" s="33" t="s">
        <v>15</v>
      </c>
      <c r="I94" t="s">
        <v>10</v>
      </c>
      <c r="J94">
        <f t="shared" si="1"/>
        <v>219.16174703261595</v>
      </c>
      <c r="L94">
        <v>28.2</v>
      </c>
      <c r="M94">
        <v>121.2</v>
      </c>
      <c r="N94">
        <v>135.19999999999999</v>
      </c>
      <c r="O94">
        <v>228.2</v>
      </c>
    </row>
    <row r="95" spans="1:15" x14ac:dyDescent="0.25">
      <c r="A95" s="31">
        <v>94</v>
      </c>
      <c r="B95" s="51">
        <v>34.200000000000003</v>
      </c>
      <c r="C95" s="51">
        <v>127.20000000000002</v>
      </c>
      <c r="D95" s="51">
        <v>145.19999999999999</v>
      </c>
      <c r="E95" s="51">
        <v>238.19999999999996</v>
      </c>
      <c r="F95" s="68">
        <v>114.25521810699603</v>
      </c>
      <c r="G95" s="68">
        <v>104.90652892561992</v>
      </c>
      <c r="H95" s="33" t="s">
        <v>15</v>
      </c>
      <c r="I95" t="s">
        <v>10</v>
      </c>
      <c r="J95">
        <f t="shared" si="1"/>
        <v>219.16174703261595</v>
      </c>
      <c r="L95">
        <v>34.200000000000003</v>
      </c>
      <c r="M95">
        <v>127.20000000000002</v>
      </c>
      <c r="N95">
        <v>145.19999999999999</v>
      </c>
      <c r="O95">
        <v>238.19999999999996</v>
      </c>
    </row>
    <row r="96" spans="1:15" x14ac:dyDescent="0.25">
      <c r="A96" s="31">
        <v>95</v>
      </c>
      <c r="B96" s="51">
        <v>40.20000000000001</v>
      </c>
      <c r="C96" s="51">
        <v>133.19999999999999</v>
      </c>
      <c r="D96" s="51">
        <v>147.19999999999999</v>
      </c>
      <c r="E96" s="51">
        <v>240.2</v>
      </c>
      <c r="F96" s="68">
        <v>114.25521810699603</v>
      </c>
      <c r="G96" s="68">
        <v>104.90652892561992</v>
      </c>
      <c r="H96" s="33" t="s">
        <v>15</v>
      </c>
      <c r="I96" t="s">
        <v>10</v>
      </c>
      <c r="J96">
        <f t="shared" si="1"/>
        <v>219.16174703261595</v>
      </c>
      <c r="L96">
        <v>40.20000000000001</v>
      </c>
      <c r="M96">
        <v>133.19999999999999</v>
      </c>
      <c r="N96">
        <v>147.19999999999999</v>
      </c>
      <c r="O96">
        <v>240.2</v>
      </c>
    </row>
    <row r="97" spans="1:15" x14ac:dyDescent="0.25">
      <c r="A97" s="34">
        <v>96</v>
      </c>
      <c r="B97" s="52">
        <v>184.19999999999996</v>
      </c>
      <c r="C97" s="52">
        <v>278.2</v>
      </c>
      <c r="D97" s="52">
        <v>0</v>
      </c>
      <c r="E97" s="52">
        <v>0</v>
      </c>
      <c r="F97" s="69">
        <v>125.38</v>
      </c>
      <c r="G97" s="69">
        <v>0</v>
      </c>
      <c r="H97" s="36" t="s">
        <v>16</v>
      </c>
      <c r="I97" t="s">
        <v>10</v>
      </c>
      <c r="J97">
        <f t="shared" si="1"/>
        <v>125.38</v>
      </c>
      <c r="L97">
        <v>184.19999999999996</v>
      </c>
      <c r="M97">
        <v>278.2</v>
      </c>
      <c r="N97">
        <v>0</v>
      </c>
      <c r="O97">
        <v>0</v>
      </c>
    </row>
    <row r="98" spans="1:15" x14ac:dyDescent="0.25">
      <c r="A98" s="37">
        <v>97</v>
      </c>
      <c r="B98" s="53">
        <v>200.2</v>
      </c>
      <c r="C98" s="53">
        <v>6.2</v>
      </c>
      <c r="D98" s="53">
        <v>0</v>
      </c>
      <c r="E98" s="53">
        <v>0</v>
      </c>
      <c r="F98" s="70">
        <v>140.69999999999999</v>
      </c>
      <c r="G98" s="70">
        <v>0</v>
      </c>
      <c r="H98" s="39" t="s">
        <v>17</v>
      </c>
      <c r="I98" t="s">
        <v>10</v>
      </c>
      <c r="J98">
        <f t="shared" si="1"/>
        <v>140.69999999999999</v>
      </c>
      <c r="L98">
        <v>200.2</v>
      </c>
      <c r="M98">
        <v>6.2</v>
      </c>
      <c r="N98">
        <v>0</v>
      </c>
      <c r="O98">
        <v>0</v>
      </c>
    </row>
    <row r="99" spans="1:15" x14ac:dyDescent="0.25">
      <c r="A99" s="37">
        <v>98</v>
      </c>
      <c r="B99" s="53">
        <v>212.2</v>
      </c>
      <c r="C99" s="53">
        <v>18.2</v>
      </c>
      <c r="D99" s="53">
        <v>0</v>
      </c>
      <c r="E99" s="53">
        <v>0</v>
      </c>
      <c r="F99" s="70">
        <v>140.69999999999999</v>
      </c>
      <c r="G99" s="70">
        <v>0</v>
      </c>
      <c r="H99" s="39" t="s">
        <v>17</v>
      </c>
      <c r="I99" t="s">
        <v>10</v>
      </c>
      <c r="J99">
        <f t="shared" si="1"/>
        <v>140.69999999999999</v>
      </c>
      <c r="L99">
        <v>212.2</v>
      </c>
      <c r="M99">
        <v>18.2</v>
      </c>
      <c r="N99">
        <v>0</v>
      </c>
      <c r="O99">
        <v>0</v>
      </c>
    </row>
    <row r="100" spans="1:15" x14ac:dyDescent="0.25">
      <c r="A100" s="37">
        <v>99</v>
      </c>
      <c r="B100" s="53">
        <v>224.20000000000005</v>
      </c>
      <c r="C100" s="53">
        <v>30.2</v>
      </c>
      <c r="D100" s="53">
        <v>0</v>
      </c>
      <c r="E100" s="53">
        <v>0</v>
      </c>
      <c r="F100" s="70">
        <v>140.69999999999999</v>
      </c>
      <c r="G100" s="70">
        <v>0</v>
      </c>
      <c r="H100" s="39" t="s">
        <v>17</v>
      </c>
      <c r="I100" t="s">
        <v>10</v>
      </c>
      <c r="J100">
        <f t="shared" si="1"/>
        <v>140.69999999999999</v>
      </c>
      <c r="L100">
        <v>224.20000000000005</v>
      </c>
      <c r="M100">
        <v>30.2</v>
      </c>
      <c r="N100">
        <v>0</v>
      </c>
      <c r="O100">
        <v>0</v>
      </c>
    </row>
    <row r="101" spans="1:15" x14ac:dyDescent="0.25">
      <c r="A101" s="40">
        <v>100</v>
      </c>
      <c r="B101" s="54">
        <v>210.2</v>
      </c>
      <c r="C101" s="54">
        <v>12.2</v>
      </c>
      <c r="D101" s="54">
        <v>0</v>
      </c>
      <c r="E101" s="54">
        <v>0</v>
      </c>
      <c r="F101" s="71">
        <v>131.80000000000001</v>
      </c>
      <c r="G101" s="71">
        <v>0</v>
      </c>
      <c r="H101" s="42" t="s">
        <v>18</v>
      </c>
      <c r="I101" t="s">
        <v>10</v>
      </c>
      <c r="J101">
        <f t="shared" si="1"/>
        <v>131.80000000000001</v>
      </c>
      <c r="L101">
        <v>210.2</v>
      </c>
      <c r="M101">
        <v>12.2</v>
      </c>
      <c r="N101">
        <v>0</v>
      </c>
      <c r="O101">
        <v>0</v>
      </c>
    </row>
    <row r="102" spans="1:15" x14ac:dyDescent="0.25">
      <c r="A102" s="40">
        <v>101</v>
      </c>
      <c r="B102" s="54">
        <v>222.2</v>
      </c>
      <c r="C102" s="54">
        <v>24.2</v>
      </c>
      <c r="D102" s="54">
        <v>0</v>
      </c>
      <c r="E102" s="54">
        <v>0</v>
      </c>
      <c r="F102" s="71">
        <v>131.80000000000001</v>
      </c>
      <c r="G102" s="71">
        <v>0</v>
      </c>
      <c r="H102" s="42" t="s">
        <v>18</v>
      </c>
      <c r="I102" t="s">
        <v>10</v>
      </c>
      <c r="J102">
        <f t="shared" si="1"/>
        <v>131.80000000000001</v>
      </c>
      <c r="L102">
        <v>222.2</v>
      </c>
      <c r="M102">
        <v>24.2</v>
      </c>
      <c r="N102">
        <v>0</v>
      </c>
      <c r="O10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a47cb959-91fd-48fa-a5ff-7dabf607ec77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376929A87CEF4F898A0EB0375B837D" ma:contentTypeVersion="20" ma:contentTypeDescription="Create a new document." ma:contentTypeScope="" ma:versionID="568090d6c465a717134167d277ccd485">
  <xsd:schema xmlns:xsd="http://www.w3.org/2001/XMLSchema" xmlns:xs="http://www.w3.org/2001/XMLSchema" xmlns:p="http://schemas.microsoft.com/office/2006/metadata/properties" xmlns:ns1="http://schemas.microsoft.com/sharepoint/v3" xmlns:ns2="4ed4f138-f89f-4eb9-8ef6-ec6f5fffce5e" xmlns:ns3="8280dd71-c6ae-47b8-bf68-f4eae1fd93e2" targetNamespace="http://schemas.microsoft.com/office/2006/metadata/properties" ma:root="true" ma:fieldsID="5a23f9d27f22a9afca1cf264fdd90638" ns1:_="" ns2:_="" ns3:_="">
    <xsd:import namespace="http://schemas.microsoft.com/sharepoint/v3"/>
    <xsd:import namespace="4ed4f138-f89f-4eb9-8ef6-ec6f5fffce5e"/>
    <xsd:import namespace="8280dd71-c6ae-47b8-bf68-f4eae1fd93e2"/>
    <xsd:element name="properties">
      <xsd:complexType>
        <xsd:sequence>
          <xsd:element name="documentManagement">
            <xsd:complexType>
              <xsd:all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4f138-f89f-4eb9-8ef6-ec6f5fffce5e" elementFormDefault="qualified">
    <xsd:import namespace="http://schemas.microsoft.com/office/2006/documentManagement/types"/>
    <xsd:import namespace="http://schemas.microsoft.com/office/infopath/2007/PartnerControls"/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9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47cb959-91fd-48fa-a5ff-7dabf607ec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80dd71-c6ae-47b8-bf68-f4eae1fd9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4f6a716-fbf8-4148-b1ce-85c1aab390e0}" ma:internalName="TaxCatchAll" ma:showField="CatchAllData" ma:web="8280dd71-c6ae-47b8-bf68-f4eae1fd93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8280dd71-c6ae-47b8-bf68-f4eae1fd93e2" xsi:nil="true"/>
    <lcf76f155ced4ddcb4097134ff3c332f xmlns="4ed4f138-f89f-4eb9-8ef6-ec6f5fffce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7DCBE97-4B79-48D8-806D-41AFD0B155DD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3B97B0F-C36D-4C8E-9DEA-F5440F4C2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ed4f138-f89f-4eb9-8ef6-ec6f5fffce5e"/>
    <ds:schemaRef ds:uri="8280dd71-c6ae-47b8-bf68-f4eae1fd9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723DF1-7483-4AA7-A02A-A031917B1F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DFDCDA1-817D-41C9-9D38-6748060358B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280dd71-c6ae-47b8-bf68-f4eae1fd93e2"/>
    <ds:schemaRef ds:uri="4ed4f138-f89f-4eb9-8ef6-ec6f5fffce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SKT</dc:creator>
  <cp:keywords/>
  <dc:description/>
  <cp:lastModifiedBy>AMITA Kumari</cp:lastModifiedBy>
  <cp:revision/>
  <dcterms:created xsi:type="dcterms:W3CDTF">2025-01-03T10:26:18Z</dcterms:created>
  <dcterms:modified xsi:type="dcterms:W3CDTF">2026-03-06T13:46:43Z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0x01010045376929A87CEF4F898A0EB0375B837D</vt:lpwstr>
  </property>
</Properties>
</file>